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ellijst" sheetId="1" state="visible" r:id="rId1"/>
    <sheet name="Legende" sheetId="2" state="visible" r:id="rId2"/>
    <sheet name="Bedrading en montage" sheetId="3" state="visible" r:id="rId3"/>
    <sheet name="Bestelbaarheid" sheetId="4" state="visible" r:id="rId4"/>
  </sheets>
  <definedNames>
    <definedName name="_xlnm._FilterDatabase" localSheetId="0" hidden="1">'Bestellijst'!$A$2:$J$46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EUR&quot;"/>
  </numFmts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1F3864"/>
    </font>
    <font>
      <color rgb="000563C1"/>
      <u val="single"/>
    </font>
    <font>
      <b val="1"/>
    </font>
    <font>
      <i val="1"/>
      <sz val="9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DCE4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5D5F0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E1D5E7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3864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0" fillId="0" borderId="1" pivotButton="0" quotePrefix="0" xfId="0"/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164" fontId="0" fillId="0" borderId="1" applyAlignment="1" pivotButton="0" quotePrefix="0" xfId="0">
      <alignment horizontal="right" vertical="top"/>
    </xf>
    <xf numFmtId="0" fontId="0" fillId="4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 vertical="top"/>
    </xf>
    <xf numFmtId="0" fontId="0" fillId="8" borderId="1" applyAlignment="1" pivotButton="0" quotePrefix="0" xfId="0">
      <alignment horizontal="center" vertical="top"/>
    </xf>
    <xf numFmtId="0" fontId="0" fillId="9" borderId="1" applyAlignment="1" pivotButton="0" quotePrefix="0" xfId="0">
      <alignment horizontal="center" vertical="top"/>
    </xf>
    <xf numFmtId="0" fontId="0" fillId="10" borderId="1" applyAlignment="1" pivotButton="0" quotePrefix="0" xfId="0">
      <alignment horizontal="center" vertical="top"/>
    </xf>
    <xf numFmtId="0" fontId="0" fillId="11" borderId="1" applyAlignment="1" pivotButton="0" quotePrefix="0" xfId="0">
      <alignment horizontal="center" vertical="top"/>
    </xf>
    <xf numFmtId="0" fontId="5" fillId="0" borderId="2" applyAlignment="1" pivotButton="0" quotePrefix="0" xfId="0">
      <alignment horizontal="right" vertical="center"/>
    </xf>
    <xf numFmtId="0" fontId="0" fillId="0" borderId="2" pivotButton="0" quotePrefix="0" xfId="0"/>
    <xf numFmtId="164" fontId="5" fillId="0" borderId="2" applyAlignment="1" pivotButton="0" quotePrefix="0" xfId="0">
      <alignment horizontal="right"/>
    </xf>
    <xf numFmtId="0" fontId="6" fillId="0" borderId="0" pivotButton="0" quotePrefix="0" xfId="0"/>
    <xf numFmtId="0" fontId="2" fillId="2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11" borderId="0" pivotButton="0" quotePrefix="0" xfId="0"/>
    <xf numFmtId="0" fontId="0" fillId="10" borderId="0" pivotButton="0" quotePrefix="0" xfId="0"/>
    <xf numFmtId="0" fontId="0" fillId="9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8" borderId="0" pivotButton="0" quotePrefix="0" xfId="0"/>
    <xf numFmtId="0" fontId="0" fillId="14" borderId="0" pivotButton="0" quotePrefix="0" xfId="0"/>
    <xf numFmtId="0" fontId="1" fillId="2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ntratek.be/xiao-esp32s3-for-meshtastic-lora" TargetMode="External" Id="rId1" /><Relationship Type="http://schemas.openxmlformats.org/officeDocument/2006/relationships/hyperlink" Target="https://www.kiwi-electronics.com/nl/adafruit-9-dof-orientation-imu-fusion-breakout-bno085-bno080-stemma-qt-qwiic-11273" TargetMode="External" Id="rId2" /><Relationship Type="http://schemas.openxmlformats.org/officeDocument/2006/relationships/hyperlink" Target="https://www.kiwi-electronics.com/nl/adafruit-bmp581-i2c-spi-druk-en-temperatuursensor-stemma-qt-20534" TargetMode="External" Id="rId3" /><Relationship Type="http://schemas.openxmlformats.org/officeDocument/2006/relationships/hyperlink" Target="https://nl.aliexpress.com/item/1005009915138674.html" TargetMode="External" Id="rId4" /><Relationship Type="http://schemas.openxmlformats.org/officeDocument/2006/relationships/hyperlink" Target="https://www.waveshare.com/gps-external-antenna-d.htm" TargetMode="External" Id="rId5" /><Relationship Type="http://schemas.openxmlformats.org/officeDocument/2006/relationships/hyperlink" Target="https://www.antratek.be/u-fl-sma-150mm-cable" TargetMode="External" Id="rId6" /><Relationship Type="http://schemas.openxmlformats.org/officeDocument/2006/relationships/hyperlink" Target="https://www.mouser.com/ProductDetail/Littelfuse/1812L200-16DR" TargetMode="External" Id="rId7" /><Relationship Type="http://schemas.openxmlformats.org/officeDocument/2006/relationships/hyperlink" Target="https://www.tme.eu/en/details/ap2112k-3.3trg1/ldo-fixed-voltage-regulators/diodes-incorporated/" TargetMode="External" Id="rId8" /><Relationship Type="http://schemas.openxmlformats.org/officeDocument/2006/relationships/hyperlink" Target="https://www.kiwi-electronics.com/nl/8-channel-bi-directional-logic-level-converter-txb0108-836" TargetMode="External" Id="rId9" /><Relationship Type="http://schemas.openxmlformats.org/officeDocument/2006/relationships/hyperlink" Target="https://www.kiwi-electronics.com/nl/keramische-condensator-kit-in-doos-15-soorten-450-stuks-10492" TargetMode="External" Id="rId10" /><Relationship Type="http://schemas.openxmlformats.org/officeDocument/2006/relationships/hyperlink" Target="https://www.kiwi-electronics.com/nl/100uf-16v-condensator-440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46" customWidth="1" min="3" max="3"/>
    <col width="8" customWidth="1" min="4" max="4"/>
    <col width="14" customWidth="1" min="5" max="5"/>
    <col width="14" customWidth="1" min="6" max="6"/>
    <col width="12" customWidth="1" min="7" max="7"/>
    <col width="16" customWidth="1" min="8" max="8"/>
    <col width="52" customWidth="1" min="9" max="9"/>
    <col width="52" customWidth="1" min="10" max="10"/>
  </cols>
  <sheetData>
    <row r="1" ht="24" customHeight="1">
      <c r="A1" s="1" t="inlineStr">
        <is>
          <t>Bestellijst G-Stem meettoestel - prijzen incl. btw (Kiwi + antratek + TME + Mouser + AliExpress; bijgewerkt 2026-10-09)</t>
        </is>
      </c>
    </row>
    <row r="2" ht="22" customHeight="1">
      <c r="A2" s="2" t="inlineStr">
        <is>
          <t>Categorie</t>
        </is>
      </c>
      <c r="B2" s="2" t="inlineStr">
        <is>
          <t>Functie</t>
        </is>
      </c>
      <c r="C2" s="2" t="inlineStr">
        <is>
          <t>Onderdeel</t>
        </is>
      </c>
      <c r="D2" s="2" t="inlineStr">
        <is>
          <t>Aantal</t>
        </is>
      </c>
      <c r="E2" s="2" t="inlineStr">
        <is>
          <t>Prijs/st (EUR)</t>
        </is>
      </c>
      <c r="F2" s="2" t="inlineStr">
        <is>
          <t>Totaal (EUR)</t>
        </is>
      </c>
      <c r="G2" s="2" t="inlineStr">
        <is>
          <t>Status</t>
        </is>
      </c>
      <c r="H2" s="2" t="inlineStr">
        <is>
          <t>Leverancier</t>
        </is>
      </c>
      <c r="I2" s="2" t="inlineStr">
        <is>
          <t>Link</t>
        </is>
      </c>
      <c r="J2" s="2" t="inlineStr">
        <is>
          <t>Opmerking</t>
        </is>
      </c>
    </row>
    <row r="3" ht="18" customHeight="1">
      <c r="A3" s="3" t="inlineStr">
        <is>
          <t>Rekenkern en communicatie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5" t="inlineStr">
        <is>
          <t>Rekenkern en communicatie</t>
        </is>
      </c>
      <c r="B4" s="6" t="inlineStr">
        <is>
          <t>Rekenkern + LoRa (toestel + ontvanger)</t>
        </is>
      </c>
      <c r="C4" s="6" t="inlineStr">
        <is>
          <t>XIAO ESP32S3 &amp; Wio-SX1262 Kit for Meshtastic &amp; LoRa</t>
        </is>
      </c>
      <c r="D4" s="7" t="n">
        <v>2</v>
      </c>
      <c r="E4" s="8" t="n">
        <v>15.13</v>
      </c>
      <c r="F4" s="8" t="n">
        <v>30.26</v>
      </c>
      <c r="G4" s="9" t="inlineStr">
        <is>
          <t>antratek</t>
        </is>
      </c>
      <c r="H4" s="5" t="inlineStr">
        <is>
          <t>antratek.be</t>
        </is>
      </c>
      <c r="I4" s="10" t="inlineStr">
        <is>
          <t>https://www.antratek.be/xiao-esp32s3-for-meshtastic-lora</t>
        </is>
      </c>
      <c r="J4" s="6" t="inlineStr">
        <is>
          <t>1x toestel, 1x LoRa-ontvanger laptop; antenne inbegrepen. Kiwi verkoopt XIAO (EUR 8,46) + Wio-SX1262 (EUR 5,43) apart, maar de Wio-module is daar NIET op voorraad</t>
        </is>
      </c>
    </row>
    <row r="5" ht="18" customHeight="1">
      <c r="A5" s="3" t="inlineStr">
        <is>
          <t>Sensoren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5" t="inlineStr">
        <is>
          <t>Sensoren</t>
        </is>
      </c>
      <c r="B6" s="6" t="inlineStr">
        <is>
          <t>9-DoF IMU</t>
        </is>
      </c>
      <c r="C6" s="6" t="inlineStr">
        <is>
          <t>Adafruit 9-DOF Orientation IMU Fusion Breakout - BNO085 (BNO080) - STEMMA QT/Qwiic</t>
        </is>
      </c>
      <c r="D6" s="7" t="n">
        <v>1</v>
      </c>
      <c r="E6" s="8" t="n">
        <v>32.05</v>
      </c>
      <c r="F6" s="8" t="n">
        <v>32.05</v>
      </c>
      <c r="G6" s="11" t="inlineStr">
        <is>
          <t>kiwi</t>
        </is>
      </c>
      <c r="H6" s="5" t="inlineStr">
        <is>
          <t>Kiwi Electronics</t>
        </is>
      </c>
      <c r="I6" s="10" t="inlineStr">
        <is>
          <t>https://www.kiwi-electronics.com/nl/adafruit-9-dof-orientation-imu-fusion-breakout-bno085-bno080-stemma-qt-qwiic-11273</t>
        </is>
      </c>
      <c r="J6" s="6" t="inlineStr">
        <is>
          <t>Goedkoper en nieuwer dan de BNO055 (anratek EUR 36,24)</t>
        </is>
      </c>
    </row>
    <row r="7">
      <c r="A7" s="5" t="inlineStr">
        <is>
          <t>Sensoren</t>
        </is>
      </c>
      <c r="B7" s="6" t="inlineStr">
        <is>
          <t>Barometer</t>
        </is>
      </c>
      <c r="C7" s="6" t="inlineStr">
        <is>
          <t>Adafruit BMP581 I2C/SPI Druk- en Temperatuursensor - STEMMA QT</t>
        </is>
      </c>
      <c r="D7" s="7" t="n">
        <v>1</v>
      </c>
      <c r="E7" s="8" t="n">
        <v>10.88</v>
      </c>
      <c r="F7" s="8" t="n">
        <v>10.88</v>
      </c>
      <c r="G7" s="11" t="inlineStr">
        <is>
          <t>kiwi</t>
        </is>
      </c>
      <c r="H7" s="5" t="inlineStr">
        <is>
          <t>Kiwi Electronics</t>
        </is>
      </c>
      <c r="I7" s="10" t="inlineStr">
        <is>
          <t>https://www.kiwi-electronics.com/nl/adafruit-bmp581-i2c-spi-druk-en-temperatuursensor-stemma-qt-20534</t>
        </is>
      </c>
      <c r="J7" s="6" t="inlineStr">
        <is>
          <t>Nauwkeuriger dan BME280; BMP390L is bij Kiwi uit voorraad en niet op antratek</t>
        </is>
      </c>
    </row>
    <row r="8">
      <c r="A8" s="5" t="inlineStr">
        <is>
          <t>Sensoren</t>
        </is>
      </c>
      <c r="B8" s="6" t="inlineStr">
        <is>
          <t>RTK-GNSS-module (breakout, LC29HDA rover)</t>
        </is>
      </c>
      <c r="C8" s="6" t="inlineStr">
        <is>
          <t>Quectel LC29HDA dual-band L1+L5 RTK-GNSS-developmentboard (geassembleerd) - kies de LC29HDA-variant</t>
        </is>
      </c>
      <c r="D8" s="7" t="n">
        <v>1</v>
      </c>
      <c r="E8" s="8" t="n">
        <v>36.99</v>
      </c>
      <c r="F8" s="8" t="n">
        <v>36.99</v>
      </c>
      <c r="G8" s="12" t="inlineStr">
        <is>
          <t>aliexpress</t>
        </is>
      </c>
      <c r="H8" s="5" t="inlineStr">
        <is>
          <t>AliExpress (China)</t>
        </is>
      </c>
      <c r="I8" s="10" t="inlineStr">
        <is>
          <t>https://nl.aliexpress.com/item/1005009915138674.html</t>
        </is>
      </c>
      <c r="J8" s="6" t="inlineStr">
        <is>
          <t>Kies bij het bestellen de LC29HDA (rover)-variant, geen LC29HBS (basisstation) en geen losse SMD-module. Richtprijs volgens de listing. Alternatieven met eenduidige variantkeuze op AliExpress: item 1005010758488281 en item 1005010162466640. Terugvaloptie EU: Waveshare LC29H(DA) HAT (Eckstein EUR 71,39 / Kamami ca. EUR 63).</t>
        </is>
      </c>
    </row>
    <row r="9" ht="18" customHeight="1">
      <c r="A9" s="3" t="inlineStr">
        <is>
          <t>Antennes en RF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5" t="inlineStr">
        <is>
          <t>Antennes en RF</t>
        </is>
      </c>
      <c r="B10" s="6" t="inlineStr">
        <is>
          <t>GNSS-antenne (actief, L1/L5)</t>
        </is>
      </c>
      <c r="C10" s="6" t="inlineStr">
        <is>
          <t>Waveshare GPS External Antenna (D), SKU 25346 - actief L1+L5, LNA 28+-2 dB, SMA-J; alleen los kopen als de LC29HDA-kit geen passende antenne bevat</t>
        </is>
      </c>
      <c r="D10" s="7" t="n">
        <v>1</v>
      </c>
      <c r="E10" s="8" t="n">
        <v>15.7</v>
      </c>
      <c r="F10" s="8" t="n">
        <v>15.7</v>
      </c>
      <c r="G10" s="13" t="inlineStr">
        <is>
          <t>waveshare</t>
        </is>
      </c>
      <c r="H10" s="5" t="inlineStr">
        <is>
          <t>Waveshare (China)</t>
        </is>
      </c>
      <c r="I10" s="10" t="inlineStr">
        <is>
          <t>https://www.waveshare.com/gps-external-antenna-d.htm</t>
        </is>
      </c>
      <c r="J10" s="6" t="inlineStr">
        <is>
          <t>RF-banden en actieve antenne passen bij LC29HDA. AliExpress-boardconnector en bundelinhoud zijn niet bevestigd: controleer SMA-J/boardzijde, eventuele adapter en of het board één of twee antennes vereist. 3 m kabel; prijs niet in totaal opgenomen.</t>
        </is>
      </c>
    </row>
    <row r="11">
      <c r="A11" s="5" t="inlineStr">
        <is>
          <t>Antennes en RF</t>
        </is>
      </c>
      <c r="B11" s="6" t="inlineStr">
        <is>
          <t>LoRa IPEX/U.FL naar SMA pigtail</t>
        </is>
      </c>
      <c r="C11" s="6" t="inlineStr">
        <is>
          <t>Interface Cable SMA to U.FL (150 mm)</t>
        </is>
      </c>
      <c r="D11" s="7" t="n">
        <v>1</v>
      </c>
      <c r="E11" s="8" t="n">
        <v>3.57</v>
      </c>
      <c r="F11" s="8" t="n">
        <v>3.57</v>
      </c>
      <c r="G11" s="9" t="inlineStr">
        <is>
          <t>antratek</t>
        </is>
      </c>
      <c r="H11" s="5" t="inlineStr">
        <is>
          <t>antratek.be</t>
        </is>
      </c>
      <c r="I11" s="10" t="inlineStr">
        <is>
          <t>https://www.antratek.be/u-fl-sma-150mm-cable</t>
        </is>
      </c>
      <c r="J11" s="6" t="inlineStr">
        <is>
          <t>Goedkoper op antratek (EUR 3,57) dan Kiwi (EUR 4,22); bulkhead-bevestiging apart controleren</t>
        </is>
      </c>
    </row>
    <row r="12">
      <c r="A12" s="5" t="inlineStr">
        <is>
          <t>Antennes en RF</t>
        </is>
      </c>
      <c r="B12" s="6" t="inlineStr">
        <is>
          <t>LoRa-antenne</t>
        </is>
      </c>
      <c r="C12" s="6" t="inlineStr">
        <is>
          <t>Inbegrepen bij de XIAO-kit</t>
        </is>
      </c>
      <c r="D12" s="7" t="n">
        <v>1</v>
      </c>
      <c r="E12" s="5" t="n"/>
      <c r="F12" s="5" t="n"/>
      <c r="G12" s="14" t="inlineStr">
        <is>
          <t>al in bezit</t>
        </is>
      </c>
      <c r="H12" s="5" t="inlineStr">
        <is>
          <t>-</t>
        </is>
      </c>
      <c r="I12" s="6" t="inlineStr"/>
      <c r="J12" s="6" t="inlineStr"/>
    </row>
    <row r="13" ht="18" customHeight="1">
      <c r="A13" s="3" t="inlineStr">
        <is>
          <t>Voeding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5" t="inlineStr">
        <is>
          <t>Voeding</t>
        </is>
      </c>
      <c r="B14" s="6" t="inlineStr">
        <is>
          <t>Accu 7,4 V</t>
        </is>
      </c>
      <c r="C14" s="6" t="inlineStr">
        <is>
          <t>2S LiPo met connector en kabel (heeft de gebruiker)</t>
        </is>
      </c>
      <c r="D14" s="7" t="n">
        <v>1</v>
      </c>
      <c r="E14" s="5" t="n"/>
      <c r="F14" s="5" t="n"/>
      <c r="G14" s="14" t="inlineStr">
        <is>
          <t>al in bezit</t>
        </is>
      </c>
      <c r="H14" s="5" t="inlineStr">
        <is>
          <t>-</t>
        </is>
      </c>
      <c r="I14" s="6" t="inlineStr"/>
      <c r="J14" s="6" t="inlineStr"/>
    </row>
    <row r="15">
      <c r="A15" s="5" t="inlineStr">
        <is>
          <t>Voeding</t>
        </is>
      </c>
      <c r="B15" s="6" t="inlineStr">
        <is>
          <t>Voedingsaansluiting</t>
        </is>
      </c>
      <c r="C15" s="6" t="inlineStr">
        <is>
          <t>DC Barrel Jack Adapter - Female (heeft de gebruiker)</t>
        </is>
      </c>
      <c r="D15" s="7" t="n">
        <v>1</v>
      </c>
      <c r="E15" s="5" t="n"/>
      <c r="F15" s="5" t="n"/>
      <c r="G15" s="14" t="inlineStr">
        <is>
          <t>al in bezit</t>
        </is>
      </c>
      <c r="H15" s="5" t="inlineStr">
        <is>
          <t>-</t>
        </is>
      </c>
      <c r="I15" s="6" t="inlineStr"/>
      <c r="J15" s="6" t="inlineStr">
        <is>
          <t>Adapter met schroefklem; voor de kabelzijde</t>
        </is>
      </c>
    </row>
    <row r="16" ht="18" customHeight="1">
      <c r="A16" s="3" t="inlineStr">
        <is>
          <t>Vervallen ontwerp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5" t="inlineStr">
        <is>
          <t>Vervallen ontwerp</t>
        </is>
      </c>
      <c r="B17" s="6" t="inlineStr">
        <is>
          <t>PCB-voedingsaansluiting</t>
        </is>
      </c>
      <c r="C17" s="6" t="inlineStr">
        <is>
          <t>2,1 mm breadboard-/PCB-barreljack - alleen bedoeld voor de vervallen draagprint</t>
        </is>
      </c>
      <c r="D17" s="5" t="n"/>
      <c r="E17" s="5" t="n"/>
      <c r="F17" s="5" t="n"/>
      <c r="G17" s="15" t="inlineStr">
        <is>
          <t>niet nodig</t>
        </is>
      </c>
      <c r="H17" s="5" t="inlineStr">
        <is>
          <t>-</t>
        </is>
      </c>
      <c r="I17" s="6" t="inlineStr"/>
      <c r="J17" s="6" t="inlineStr">
        <is>
          <t>Niet bestellen. De bestaande barrel-adapter blijft; voedingsinvoer via de behuizing nog te bepalen.</t>
        </is>
      </c>
    </row>
    <row r="18" ht="18" customHeight="1">
      <c r="A18" s="3" t="inlineStr">
        <is>
          <t>Voeding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5" t="inlineStr">
        <is>
          <t>Voeding</t>
        </is>
      </c>
      <c r="B19" s="6" t="inlineStr">
        <is>
          <t>Buck-converter 5 V</t>
        </is>
      </c>
      <c r="C19" s="6" t="inlineStr">
        <is>
          <t>Heeft de gebruiker</t>
        </is>
      </c>
      <c r="D19" s="7" t="n">
        <v>1</v>
      </c>
      <c r="E19" s="5" t="n"/>
      <c r="F19" s="5" t="n"/>
      <c r="G19" s="14" t="inlineStr">
        <is>
          <t>al in bezit</t>
        </is>
      </c>
      <c r="H19" s="5" t="inlineStr">
        <is>
          <t>-</t>
        </is>
      </c>
      <c r="I19" s="6" t="inlineStr"/>
      <c r="J19" s="6" t="inlineStr">
        <is>
          <t>Referentie antratek: Buck Regulator Breakout 5V (EUR 12,04)</t>
        </is>
      </c>
    </row>
    <row r="20">
      <c r="A20" s="5" t="inlineStr">
        <is>
          <t>Voeding</t>
        </is>
      </c>
      <c r="B20" s="6" t="inlineStr">
        <is>
          <t>Bescherming voeding</t>
        </is>
      </c>
      <c r="C20" s="6" t="inlineStr">
        <is>
          <t>2 A PTC Littelfuse 1812L200/16 + TVS SMBJ10A-TR (zonder P-MOSFET)</t>
        </is>
      </c>
      <c r="D20" s="7" t="n">
        <v>1</v>
      </c>
      <c r="E20" s="8" t="n">
        <v>1</v>
      </c>
      <c r="F20" s="8" t="n">
        <v>1</v>
      </c>
      <c r="G20" s="16" t="inlineStr">
        <is>
          <t>mouser</t>
        </is>
      </c>
      <c r="H20" s="5" t="inlineStr">
        <is>
          <t>Mouser.be / DigiKey (EU-magazijn)</t>
        </is>
      </c>
      <c r="I20" s="10" t="inlineStr">
        <is>
          <t>https://www.mouser.com/ProductDetail/Littelfuse/1812L200-16DR</t>
        </is>
      </c>
      <c r="J20" s="6" t="inlineStr">
        <is>
          <t>PTC bij Mouser/DigiKey (EU); TVS SMBJ10A bij TME. P-MOSFET vervalt (beslissing 2026-10-06).</t>
        </is>
      </c>
    </row>
    <row r="21">
      <c r="A21" s="5" t="inlineStr">
        <is>
          <t>Voeding</t>
        </is>
      </c>
      <c r="B21" s="6" t="inlineStr">
        <is>
          <t>Ompoolbeveiliging (P-MOSFET)</t>
        </is>
      </c>
      <c r="C21" s="6" t="inlineStr">
        <is>
          <t>P-MOSFET DMG2301L / AO3401A (SOT-23)</t>
        </is>
      </c>
      <c r="D21" s="7" t="n">
        <v>1</v>
      </c>
      <c r="E21" s="5" t="n"/>
      <c r="F21" s="5" t="n"/>
      <c r="G21" s="15" t="inlineStr">
        <is>
          <t>niet nodig</t>
        </is>
      </c>
      <c r="H21" s="5" t="inlineStr">
        <is>
          <t>-</t>
        </is>
      </c>
      <c r="I21" s="6" t="inlineStr"/>
      <c r="J21" s="6" t="inlineStr">
        <is>
          <t>BESLISSING 2026-10-06: NIET voorzien. Geen P-MOSFET-ompoolbeveiliging; voorkom omgekeerd aansluiten met een gepolariseerde connector (XT60/JST-XH). Zie data/afgevoerd.md.</t>
        </is>
      </c>
    </row>
    <row r="22">
      <c r="A22" s="5" t="inlineStr">
        <is>
          <t>Voeding</t>
        </is>
      </c>
      <c r="B22" s="6" t="inlineStr">
        <is>
          <t>LDO 3,3 V</t>
        </is>
      </c>
      <c r="C22" s="6" t="inlineStr">
        <is>
          <t>AP2112K-3.3TRG1 (Diodes Inc., SOT-23-5)</t>
        </is>
      </c>
      <c r="D22" s="7" t="n">
        <v>1</v>
      </c>
      <c r="E22" s="8" t="n">
        <v>0.27</v>
      </c>
      <c r="F22" s="8" t="n">
        <v>0.27</v>
      </c>
      <c r="G22" s="12" t="inlineStr">
        <is>
          <t>tme</t>
        </is>
      </c>
      <c r="H22" s="5" t="inlineStr">
        <is>
          <t>TME (Polen, EU)</t>
        </is>
      </c>
      <c r="I22" s="10" t="inlineStr">
        <is>
          <t>https://www.tme.eu/en/details/ap2112k-3.3trg1/ldo-fixed-voltage-regulators/diodes-incorporated/</t>
        </is>
      </c>
      <c r="J22" s="6" t="inlineStr">
        <is>
          <t>8000+ op voorraad bij TME</t>
        </is>
      </c>
    </row>
    <row r="23">
      <c r="A23" s="5" t="inlineStr">
        <is>
          <t>Voeding</t>
        </is>
      </c>
      <c r="B23" s="6" t="inlineStr">
        <is>
          <t>Aan/uit-schakelaar</t>
        </is>
      </c>
      <c r="C23" s="6" t="inlineStr">
        <is>
          <t>Geen; toestel start bij voeding</t>
        </is>
      </c>
      <c r="D23" s="5" t="n"/>
      <c r="E23" s="5" t="n"/>
      <c r="F23" s="5" t="n"/>
      <c r="G23" s="15" t="inlineStr">
        <is>
          <t>niet nodig</t>
        </is>
      </c>
      <c r="H23" s="5" t="inlineStr">
        <is>
          <t>-</t>
        </is>
      </c>
      <c r="I23" s="6" t="inlineStr"/>
      <c r="J23" s="6" t="inlineStr"/>
    </row>
    <row r="24" ht="18" customHeight="1">
      <c r="A24" s="3" t="inlineStr">
        <is>
          <t>Vervallen ontwerp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5" t="inlineStr">
        <is>
          <t>Vervallen ontwerp</t>
        </is>
      </c>
      <c r="B25" s="6" t="inlineStr">
        <is>
          <t>Draagprint (carrier-PCB)</t>
        </is>
      </c>
      <c r="C25" s="6" t="inlineStr">
        <is>
          <t>Eigen PCB bij AISLER</t>
        </is>
      </c>
      <c r="D25" s="5" t="n"/>
      <c r="E25" s="5" t="n"/>
      <c r="F25" s="5" t="n"/>
      <c r="G25" s="15" t="inlineStr">
        <is>
          <t>niet nodig</t>
        </is>
      </c>
      <c r="H25" s="5" t="inlineStr">
        <is>
          <t>-</t>
        </is>
      </c>
      <c r="I25" s="6" t="inlineStr"/>
      <c r="J25" s="6" t="inlineStr">
        <is>
          <t>Vervallen op 2026-10-09: de gebruiker bedradt en soldeert de onderdelen zelf en monteert ze aan een 3D-geprinte behuizing.</t>
        </is>
      </c>
    </row>
    <row r="26" ht="18" customHeight="1">
      <c r="A26" s="3" t="inlineStr">
        <is>
          <t>Bedrading en losse elektronica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5" t="inlineStr">
        <is>
          <t>Bedrading en losse elektronica</t>
        </is>
      </c>
      <c r="B27" s="6" t="inlineStr">
        <is>
          <t>Level shifter 3,3 V &lt;-&gt; 5 V</t>
        </is>
      </c>
      <c r="C27" s="6" t="inlineStr">
        <is>
          <t>8-kanaals bidirectionele Logic Level Converter - TXB0108</t>
        </is>
      </c>
      <c r="D27" s="7" t="n">
        <v>1</v>
      </c>
      <c r="E27" s="8" t="n">
        <v>8.699999999999999</v>
      </c>
      <c r="F27" s="8" t="n">
        <v>8.699999999999999</v>
      </c>
      <c r="G27" s="11" t="inlineStr">
        <is>
          <t>kiwi</t>
        </is>
      </c>
      <c r="H27" s="5" t="inlineStr">
        <is>
          <t>Kiwi Electronics</t>
        </is>
      </c>
      <c r="I27" s="10" t="inlineStr">
        <is>
          <t>https://www.kiwi-electronics.com/nl/8-channel-bi-directional-logic-level-converter-txb0108-836</t>
        </is>
      </c>
      <c r="J27" s="6" t="inlineStr">
        <is>
          <t>DEFINITIEF (2026-10-07): TXB0108-breakout. De TXB0104-IC (TSSOP-14, ca. EUR 1,80) is enkel een alternatief; antratek BSS138-converter EUR 4,78 is een ander type</t>
        </is>
      </c>
    </row>
    <row r="28">
      <c r="A28" s="5" t="inlineStr">
        <is>
          <t>Bedrading en losse elektronica</t>
        </is>
      </c>
      <c r="B28" s="6" t="inlineStr">
        <is>
          <t>UART-/uitbreidingsconnector</t>
        </is>
      </c>
      <c r="C28" s="6" t="inlineStr">
        <is>
          <t>Eerder gekozen DEGSON 4-pins 3,5 mm; mogelijk overbodig bij rechtstreeks bedraden</t>
        </is>
      </c>
      <c r="D28" s="5" t="n"/>
      <c r="E28" s="5" t="n"/>
      <c r="F28" s="5" t="n"/>
      <c r="G28" s="17" t="inlineStr">
        <is>
          <t>te bepalen</t>
        </is>
      </c>
      <c r="H28" s="5" t="inlineStr">
        <is>
          <t>-</t>
        </is>
      </c>
      <c r="I28" s="6" t="inlineStr"/>
      <c r="J28" s="6" t="inlineStr">
        <is>
          <t>Nog geen keuze of aankoop; eerst bevestigen hoe de kabel naar buiten wordt aangesloten.</t>
        </is>
      </c>
    </row>
    <row r="29" ht="18" customHeight="1">
      <c r="A29" s="3" t="inlineStr">
        <is>
          <t>Vervallen ontwerp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5" t="inlineStr">
        <is>
          <t>Vervallen ontwerp</t>
        </is>
      </c>
      <c r="B30" s="6" t="inlineStr">
        <is>
          <t>Socket-headers</t>
        </is>
      </c>
      <c r="C30" s="6" t="inlineStr">
        <is>
          <t>Dual-wipe en turned-pin sockets</t>
        </is>
      </c>
      <c r="D30" s="5" t="n"/>
      <c r="E30" s="5" t="n"/>
      <c r="F30" s="5" t="n"/>
      <c r="G30" s="15" t="inlineStr">
        <is>
          <t>niet nodig</t>
        </is>
      </c>
      <c r="H30" s="5" t="inlineStr">
        <is>
          <t>-</t>
        </is>
      </c>
      <c r="I30" s="6" t="inlineStr"/>
      <c r="J30" s="6" t="inlineStr">
        <is>
          <t>Vervallen op 2026-10-09: breakoutmodules worden handbedraad en gesoldeerd; niet bestellen.</t>
        </is>
      </c>
    </row>
    <row r="31" ht="18" customHeight="1">
      <c r="A31" s="3" t="inlineStr">
        <is>
          <t>Bedrading en losse elektronica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5" t="inlineStr">
        <is>
          <t>Bedrading en losse elektronica</t>
        </is>
      </c>
      <c r="B32" s="6" t="inlineStr">
        <is>
          <t>Power-LED + serieweerstand</t>
        </is>
      </c>
      <c r="C32" s="6" t="inlineStr">
        <is>
          <t>3 mm LED rood (10-pack) + weerstand 330 Ohm (10-pack) - heeft de gebruiker thuis</t>
        </is>
      </c>
      <c r="D32" s="7" t="n">
        <v>1</v>
      </c>
      <c r="E32" s="5" t="n"/>
      <c r="F32" s="5" t="n"/>
      <c r="G32" s="14" t="inlineStr">
        <is>
          <t>al in bezit</t>
        </is>
      </c>
      <c r="H32" s="5" t="inlineStr">
        <is>
          <t>-</t>
        </is>
      </c>
      <c r="I32" s="6" t="inlineStr"/>
      <c r="J32" s="6" t="inlineStr">
        <is>
          <t>HEEFT DE GEBRUIKER THUIS (2026-10-06): 10-pack rode 3 mm LED + 10-pack 330 Ohm; niet aankopen. Referentie Kiwi: LED EUR 1,20 + weerstand EUR 0,96 = EUR 2,16</t>
        </is>
      </c>
    </row>
    <row r="33">
      <c r="A33" s="5" t="inlineStr">
        <is>
          <t>Bedrading en losse elektronica</t>
        </is>
      </c>
      <c r="B33" s="6" t="inlineStr">
        <is>
          <t>Ontkoppelcondensatoren</t>
        </is>
      </c>
      <c r="C33" s="6" t="inlineStr">
        <is>
          <t>Keramische condensator kit (15 soorten, 450 st.) - dekt 100 nF + 10 uF</t>
        </is>
      </c>
      <c r="D33" s="7" t="n">
        <v>1</v>
      </c>
      <c r="E33" s="8" t="n">
        <v>10.27</v>
      </c>
      <c r="F33" s="8" t="n">
        <v>10.27</v>
      </c>
      <c r="G33" s="11" t="inlineStr">
        <is>
          <t>kiwi</t>
        </is>
      </c>
      <c r="H33" s="5" t="inlineStr">
        <is>
          <t>Kiwi Electronics</t>
        </is>
      </c>
      <c r="I33" s="10" t="inlineStr">
        <is>
          <t>https://www.kiwi-electronics.com/nl/keramische-condensator-kit-in-doos-15-soorten-450-stuks-10492</t>
        </is>
      </c>
      <c r="J33" s="6" t="inlineStr">
        <is>
          <t>Kit i.p.v. losse condensatoren</t>
        </is>
      </c>
    </row>
    <row r="34">
      <c r="A34" s="5" t="inlineStr">
        <is>
          <t>Bedrading en losse elektronica</t>
        </is>
      </c>
      <c r="B34" s="6" t="inlineStr">
        <is>
          <t>Bulk-elco</t>
        </is>
      </c>
      <c r="C34" s="6" t="inlineStr">
        <is>
          <t>100 uF / 16 V op de 5 V-ingang</t>
        </is>
      </c>
      <c r="D34" s="7" t="n">
        <v>1</v>
      </c>
      <c r="E34" s="8" t="n">
        <v>0.59</v>
      </c>
      <c r="F34" s="8" t="n">
        <v>0.59</v>
      </c>
      <c r="G34" s="11" t="inlineStr">
        <is>
          <t>kiwi</t>
        </is>
      </c>
      <c r="H34" s="5" t="inlineStr">
        <is>
          <t>Kiwi Electronics</t>
        </is>
      </c>
      <c r="I34" s="10" t="inlineStr">
        <is>
          <t>https://www.kiwi-electronics.com/nl/100uf-16v-condensator-440</t>
        </is>
      </c>
      <c r="J34" s="6" t="inlineStr"/>
    </row>
    <row r="35">
      <c r="A35" s="5" t="inlineStr">
        <is>
          <t>Bedrading en losse elektronica</t>
        </is>
      </c>
      <c r="B35" s="6" t="inlineStr">
        <is>
          <t>I2C-pull-ups</t>
        </is>
      </c>
      <c r="C35" s="6" t="inlineStr">
        <is>
          <t>Niet nodig; breakouts hebben ze al</t>
        </is>
      </c>
      <c r="D35" s="5" t="n"/>
      <c r="E35" s="5" t="n"/>
      <c r="F35" s="5" t="n"/>
      <c r="G35" s="15" t="inlineStr">
        <is>
          <t>niet nodig</t>
        </is>
      </c>
      <c r="H35" s="5" t="inlineStr">
        <is>
          <t>-</t>
        </is>
      </c>
      <c r="I35" s="6" t="inlineStr"/>
      <c r="J35" s="6" t="inlineStr">
        <is>
          <t>Geen extra pull-ups voorzien.</t>
        </is>
      </c>
    </row>
    <row r="36">
      <c r="A36" s="5" t="inlineStr">
        <is>
          <t>Bedrading en losse elektronica</t>
        </is>
      </c>
      <c r="B36" s="6" t="inlineStr">
        <is>
          <t>Behuizingsmontage</t>
        </is>
      </c>
      <c r="C36" s="6" t="inlineStr">
        <is>
          <t>Bevestigingsmateriaal nog te bepalen; eerdere M3-set was voor de draagprint</t>
        </is>
      </c>
      <c r="D36" s="5" t="n"/>
      <c r="E36" s="5" t="n"/>
      <c r="F36" s="5" t="n"/>
      <c r="G36" s="17" t="inlineStr">
        <is>
          <t>te bepalen</t>
        </is>
      </c>
      <c r="H36" s="5" t="inlineStr">
        <is>
          <t>-</t>
        </is>
      </c>
      <c r="I36" s="6" t="inlineStr"/>
      <c r="J36" s="6" t="inlineStr">
        <is>
          <t>Niet bestellen of online opzoeken voordat de gebruiker de montagewijze heeft bevestigd.</t>
        </is>
      </c>
    </row>
    <row r="37" ht="18" customHeight="1">
      <c r="A37" s="3" t="inlineStr">
        <is>
          <t>Kabels en verbruik (in bezit)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5" t="inlineStr">
        <is>
          <t>Kabels en verbruik (in bezit)</t>
        </is>
      </c>
      <c r="B38" s="6" t="inlineStr">
        <is>
          <t>USB-C datakabel</t>
        </is>
      </c>
      <c r="C38" s="6" t="inlineStr">
        <is>
          <t>Eigen kabel</t>
        </is>
      </c>
      <c r="D38" s="7" t="n">
        <v>1</v>
      </c>
      <c r="E38" s="5" t="n"/>
      <c r="F38" s="5" t="n"/>
      <c r="G38" s="14" t="inlineStr">
        <is>
          <t>al in bezit</t>
        </is>
      </c>
      <c r="H38" s="5" t="inlineStr">
        <is>
          <t>-</t>
        </is>
      </c>
      <c r="I38" s="6" t="inlineStr"/>
      <c r="J38" s="6" t="inlineStr"/>
    </row>
    <row r="39">
      <c r="A39" s="5" t="inlineStr">
        <is>
          <t>Kabels en verbruik (in bezit)</t>
        </is>
      </c>
      <c r="B39" s="6" t="inlineStr">
        <is>
          <t>Dupont-/siliconendraad</t>
        </is>
      </c>
      <c r="C39" s="6" t="inlineStr">
        <is>
          <t>Heeft de gebruiker</t>
        </is>
      </c>
      <c r="D39" s="7" t="n">
        <v>1</v>
      </c>
      <c r="E39" s="5" t="n"/>
      <c r="F39" s="5" t="n"/>
      <c r="G39" s="14" t="inlineStr">
        <is>
          <t>al in bezit</t>
        </is>
      </c>
      <c r="H39" s="5" t="inlineStr">
        <is>
          <t>-</t>
        </is>
      </c>
      <c r="I39" s="6" t="inlineStr"/>
      <c r="J39" s="6" t="inlineStr"/>
    </row>
    <row r="40">
      <c r="A40" s="5" t="inlineStr">
        <is>
          <t>Kabels en verbruik (in bezit)</t>
        </is>
      </c>
      <c r="B40" s="6" t="inlineStr">
        <is>
          <t>USB A-kabel LoRa-ontvanger</t>
        </is>
      </c>
      <c r="C40" s="6" t="inlineStr">
        <is>
          <t>USB-A naar USB-C voor de XIAO (heeft de gebruiker)</t>
        </is>
      </c>
      <c r="D40" s="7" t="n">
        <v>1</v>
      </c>
      <c r="E40" s="5" t="n"/>
      <c r="F40" s="5" t="n"/>
      <c r="G40" s="14" t="inlineStr">
        <is>
          <t>al in bezit</t>
        </is>
      </c>
      <c r="H40" s="5" t="inlineStr">
        <is>
          <t>-</t>
        </is>
      </c>
      <c r="I40" s="6" t="inlineStr"/>
      <c r="J40" s="6" t="inlineStr"/>
    </row>
    <row r="41">
      <c r="A41" s="5" t="inlineStr">
        <is>
          <t>Kabels en verbruik (in bezit)</t>
        </is>
      </c>
      <c r="B41" s="6" t="inlineStr">
        <is>
          <t>Gereedschap</t>
        </is>
      </c>
      <c r="C41" s="6" t="inlineStr">
        <is>
          <t>Schuifmaat, soldeerbout, tin, flux, multimeter, USB-serieel adapter</t>
        </is>
      </c>
      <c r="D41" s="7" t="n">
        <v>1</v>
      </c>
      <c r="E41" s="5" t="n"/>
      <c r="F41" s="5" t="n"/>
      <c r="G41" s="14" t="inlineStr">
        <is>
          <t>al in bezit</t>
        </is>
      </c>
      <c r="H41" s="5" t="inlineStr">
        <is>
          <t>-</t>
        </is>
      </c>
      <c r="I41" s="6" t="inlineStr"/>
      <c r="J41" s="6" t="inlineStr"/>
    </row>
    <row r="42" ht="18" customHeight="1">
      <c r="A42" s="3" t="inlineStr">
        <is>
          <t>Mock-up (vliegtuigje)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A43" s="5" t="inlineStr">
        <is>
          <t>Mock-up (vliegtuigje)</t>
        </is>
      </c>
      <c r="B43" s="6" t="inlineStr">
        <is>
          <t>Arduino</t>
        </is>
      </c>
      <c r="C43" s="6" t="inlineStr">
        <is>
          <t>Arduino Uno (heeft de gebruiker thuis)</t>
        </is>
      </c>
      <c r="D43" s="7" t="n">
        <v>1</v>
      </c>
      <c r="E43" s="5" t="n"/>
      <c r="F43" s="5" t="n"/>
      <c r="G43" s="14" t="inlineStr">
        <is>
          <t>al in bezit</t>
        </is>
      </c>
      <c r="H43" s="5" t="inlineStr">
        <is>
          <t>-</t>
        </is>
      </c>
      <c r="I43" s="6" t="inlineStr"/>
      <c r="J43" s="6" t="inlineStr">
        <is>
          <t>Referentie antratek: Arduino Uno Rev3 (EUR 41,75)</t>
        </is>
      </c>
    </row>
    <row r="44">
      <c r="A44" s="5" t="inlineStr">
        <is>
          <t>Mock-up (vliegtuigje)</t>
        </is>
      </c>
      <c r="B44" s="6" t="inlineStr">
        <is>
          <t>Servo's</t>
        </is>
      </c>
      <c r="C44" s="6" t="inlineStr">
        <is>
          <t>Bestaande voorraad (&gt; 3)</t>
        </is>
      </c>
      <c r="D44" s="7" t="n">
        <v>3</v>
      </c>
      <c r="E44" s="5" t="n"/>
      <c r="F44" s="5" t="n"/>
      <c r="G44" s="14" t="inlineStr">
        <is>
          <t>al in bezit</t>
        </is>
      </c>
      <c r="H44" s="5" t="inlineStr">
        <is>
          <t>-</t>
        </is>
      </c>
      <c r="I44" s="6" t="inlineStr"/>
      <c r="J44" s="6" t="inlineStr"/>
    </row>
    <row r="45">
      <c r="A45" s="5" t="inlineStr">
        <is>
          <t>Mock-up (vliegtuigje)</t>
        </is>
      </c>
      <c r="B45" s="6" t="inlineStr">
        <is>
          <t>Servo-voeding</t>
        </is>
      </c>
      <c r="C45" s="6" t="inlineStr">
        <is>
          <t>Aparte buck-converter</t>
        </is>
      </c>
      <c r="D45" s="7" t="n">
        <v>1</v>
      </c>
      <c r="E45" s="5" t="n"/>
      <c r="F45" s="5" t="n"/>
      <c r="G45" s="14" t="inlineStr">
        <is>
          <t>al in bezit</t>
        </is>
      </c>
      <c r="H45" s="5" t="inlineStr">
        <is>
          <t>-</t>
        </is>
      </c>
      <c r="I45" s="6" t="inlineStr"/>
      <c r="J45" s="6" t="inlineStr"/>
    </row>
    <row r="46">
      <c r="A46" s="5" t="inlineStr">
        <is>
          <t>Mock-up (vliegtuigje)</t>
        </is>
      </c>
      <c r="B46" s="6" t="inlineStr">
        <is>
          <t>Romp en roeren</t>
        </is>
      </c>
      <c r="C46" s="6" t="inlineStr">
        <is>
          <t>Eigen 3D-print</t>
        </is>
      </c>
      <c r="D46" s="7" t="n">
        <v>1</v>
      </c>
      <c r="E46" s="5" t="n"/>
      <c r="F46" s="5" t="n"/>
      <c r="G46" s="14" t="inlineStr">
        <is>
          <t>al in bezit</t>
        </is>
      </c>
      <c r="H46" s="5" t="inlineStr">
        <is>
          <t>-</t>
        </is>
      </c>
      <c r="I46" s="6" t="inlineStr"/>
      <c r="J46" s="6" t="inlineStr"/>
    </row>
    <row r="48">
      <c r="A48" s="18" t="inlineStr">
        <is>
          <t>Totaal te bestellen bij Kiwi Electronics</t>
        </is>
      </c>
      <c r="B48" s="19" t="n"/>
      <c r="C48" s="19" t="n"/>
      <c r="D48" s="19" t="n"/>
      <c r="E48" s="19" t="n"/>
      <c r="F48" s="20">
        <f>SUMIF(G3:G46,"kiwi",F3:F46)</f>
        <v/>
      </c>
      <c r="G48" s="19" t="n"/>
      <c r="H48" s="19" t="n"/>
      <c r="I48" s="19" t="n"/>
      <c r="J48" s="19" t="n"/>
    </row>
    <row r="49">
      <c r="A49" s="18" t="inlineStr">
        <is>
          <t>Totaal te bestellen bij antratek</t>
        </is>
      </c>
      <c r="B49" s="19" t="n"/>
      <c r="C49" s="19" t="n"/>
      <c r="D49" s="19" t="n"/>
      <c r="E49" s="19" t="n"/>
      <c r="F49" s="20">
        <f>SUMIF(G3:G46,"antratek",F3:F46)</f>
        <v/>
      </c>
      <c r="G49" s="19" t="n"/>
      <c r="H49" s="19" t="n"/>
      <c r="I49" s="19" t="n"/>
      <c r="J49" s="19" t="n"/>
    </row>
    <row r="50">
      <c r="A50" s="18" t="inlineStr">
        <is>
          <t>Totaal te bestellen bij AliExpress (China)</t>
        </is>
      </c>
      <c r="B50" s="19" t="n"/>
      <c r="C50" s="19" t="n"/>
      <c r="D50" s="19" t="n"/>
      <c r="E50" s="19" t="n"/>
      <c r="F50" s="20">
        <f>SUMIF(G3:G46,"aliexpress",F3:F46)</f>
        <v/>
      </c>
      <c r="G50" s="19" t="n"/>
      <c r="H50" s="19" t="n"/>
      <c r="I50" s="19" t="n"/>
      <c r="J50" s="19" t="n"/>
    </row>
    <row r="51">
      <c r="A51" s="18" t="inlineStr">
        <is>
          <t>Totaal te bestellen bij TME (EU)</t>
        </is>
      </c>
      <c r="B51" s="19" t="n"/>
      <c r="C51" s="19" t="n"/>
      <c r="D51" s="19" t="n"/>
      <c r="E51" s="19" t="n"/>
      <c r="F51" s="20">
        <f>SUMIF(G3:G46,"tme",F3:F46)</f>
        <v/>
      </c>
      <c r="G51" s="19" t="n"/>
      <c r="H51" s="19" t="n"/>
      <c r="I51" s="19" t="n"/>
      <c r="J51" s="19" t="n"/>
    </row>
    <row r="52">
      <c r="A52" s="18" t="inlineStr">
        <is>
          <t>Totaal te bestellen bij Mouser/DigiKey (EU)</t>
        </is>
      </c>
      <c r="B52" s="19" t="n"/>
      <c r="C52" s="19" t="n"/>
      <c r="D52" s="19" t="n"/>
      <c r="E52" s="19" t="n"/>
      <c r="F52" s="20">
        <f>SUMIF(G3:G46,"mouser",F3:F46)</f>
        <v/>
      </c>
      <c r="G52" s="19" t="n"/>
      <c r="H52" s="19" t="n"/>
      <c r="I52" s="19" t="n"/>
      <c r="J52" s="19" t="n"/>
    </row>
    <row r="53">
      <c r="A53" s="18" t="inlineStr">
        <is>
          <t>Waveshare: losse GNSS-antenne (voorwaardelijk)</t>
        </is>
      </c>
      <c r="B53" s="19" t="n"/>
      <c r="C53" s="19" t="n"/>
      <c r="D53" s="19" t="n"/>
      <c r="E53" s="19" t="n"/>
      <c r="F53" s="20">
        <f>SUMIF(G3:G46,"waveshare",F3:F46)</f>
        <v/>
      </c>
      <c r="G53" s="19" t="n"/>
      <c r="H53" s="19" t="n"/>
      <c r="I53" s="19" t="n"/>
      <c r="J53" s="19" t="n"/>
    </row>
    <row r="54">
      <c r="A54" s="18" t="inlineStr">
        <is>
          <t>Eckstein-terugvaloptie (niet gekozen; geen actieve regel)</t>
        </is>
      </c>
      <c r="B54" s="19" t="n"/>
      <c r="C54" s="19" t="n"/>
      <c r="D54" s="19" t="n"/>
      <c r="E54" s="19" t="n"/>
      <c r="F54" s="20">
        <f>SUMIF(G3:G46,"eckstein",F3:F46)</f>
        <v/>
      </c>
      <c r="G54" s="19" t="n"/>
      <c r="H54" s="19" t="n"/>
      <c r="I54" s="19" t="n"/>
      <c r="J54" s="19" t="n"/>
    </row>
    <row r="55">
      <c r="A55" s="18" t="inlineStr">
        <is>
          <t>TOTAAL actieve onderdelen (incl. voorwaardelijke GNSS-antenne)</t>
        </is>
      </c>
      <c r="B55" s="19" t="n"/>
      <c r="C55" s="19" t="n"/>
      <c r="D55" s="19" t="n"/>
      <c r="E55" s="19" t="n"/>
      <c r="F55" s="20">
        <f>SUM(F3:F46)</f>
        <v/>
      </c>
      <c r="G55" s="19" t="n"/>
      <c r="H55" s="19" t="n"/>
      <c r="I55" s="19" t="n"/>
      <c r="J55" s="19" t="n"/>
    </row>
    <row r="56">
      <c r="A56" s="18" t="inlineStr">
        <is>
          <t>TOTAAL actieve onderdelen excl. losse GNSS-antenne</t>
        </is>
      </c>
      <c r="B56" s="19" t="n"/>
      <c r="C56" s="19" t="n"/>
      <c r="D56" s="19" t="n"/>
      <c r="E56" s="19" t="n"/>
      <c r="F56" s="20">
        <f>F55-F53</f>
        <v/>
      </c>
      <c r="G56" s="19" t="n"/>
      <c r="H56" s="19" t="n"/>
      <c r="I56" s="19" t="n"/>
      <c r="J56" s="19" t="n"/>
    </row>
    <row r="58">
      <c r="A58" s="21" t="inlineStr">
        <is>
          <t>Let op: prijzen zijn onder voorbehoud en incl. btw. Bij de AliExpress-GPS moet je de LC29HDA (rover)-variant kiezen, geen LC29HBS (basisstation) en geen losse SMD-module. De losse Waveshare-antenne (SKU 25346) is voorwaardelijk: eerst checken of de boardkit een passende L1/L5-antenne meelevert. Terugvaloptie GPS in de EU: Waveshare LC29H(DA) HAT (Eckstein ca. EUR 71,39 / Kamami ca. EUR 63). De LED + 330 Ohm-weerstand (10-packs) heeft de gebruiker thuis en is dus niet meer te bestellen. Carrier-PCB en sockets zijn vervallen; montage- en connectorbehoefte is nog te bepalen. Zie GEBRUIKER/data/bedrading-en-behuizing.md.</t>
        </is>
      </c>
    </row>
  </sheetData>
  <autoFilter ref="A2:J46"/>
  <mergeCells count="22">
    <mergeCell ref="A5:J5"/>
    <mergeCell ref="A48:E48"/>
    <mergeCell ref="A49:E49"/>
    <mergeCell ref="A51:E51"/>
    <mergeCell ref="A29:J29"/>
    <mergeCell ref="A13:J13"/>
    <mergeCell ref="A31:J31"/>
    <mergeCell ref="A54:E54"/>
    <mergeCell ref="A9:J9"/>
    <mergeCell ref="A24:J24"/>
    <mergeCell ref="A56:E56"/>
    <mergeCell ref="A1:J1"/>
    <mergeCell ref="A50:E50"/>
    <mergeCell ref="A55:E55"/>
    <mergeCell ref="A16:J16"/>
    <mergeCell ref="A53:E53"/>
    <mergeCell ref="A37:J37"/>
    <mergeCell ref="A52:E52"/>
    <mergeCell ref="A18:J18"/>
    <mergeCell ref="A3:J3"/>
    <mergeCell ref="A26:J26"/>
    <mergeCell ref="A42:J42"/>
  </mergeCells>
  <hyperlinks>
    <hyperlink xmlns:r="http://schemas.openxmlformats.org/officeDocument/2006/relationships" ref="I4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10" r:id="rId5"/>
    <hyperlink xmlns:r="http://schemas.openxmlformats.org/officeDocument/2006/relationships" ref="I11" r:id="rId6"/>
    <hyperlink xmlns:r="http://schemas.openxmlformats.org/officeDocument/2006/relationships" ref="I20" r:id="rId7"/>
    <hyperlink xmlns:r="http://schemas.openxmlformats.org/officeDocument/2006/relationships" ref="I22" r:id="rId8"/>
    <hyperlink xmlns:r="http://schemas.openxmlformats.org/officeDocument/2006/relationships" ref="I27" r:id="rId9"/>
    <hyperlink xmlns:r="http://schemas.openxmlformats.org/officeDocument/2006/relationships" ref="I33" r:id="rId10"/>
    <hyperlink xmlns:r="http://schemas.openxmlformats.org/officeDocument/2006/relationships" ref="I34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22" t="inlineStr">
        <is>
          <t>Tag</t>
        </is>
      </c>
      <c r="B1" s="22" t="inlineStr">
        <is>
          <t>Betekenis</t>
        </is>
      </c>
    </row>
    <row r="2">
      <c r="A2" s="23" t="inlineStr">
        <is>
          <t>kiwi</t>
        </is>
      </c>
      <c r="B2" t="inlineStr">
        <is>
          <t>Aankooplink gevonden op Kiwi Electronics (kiwi-electronics.com)</t>
        </is>
      </c>
    </row>
    <row r="3">
      <c r="A3" s="24" t="inlineStr">
        <is>
          <t>antratek</t>
        </is>
      </c>
      <c r="B3" t="inlineStr">
        <is>
          <t>Aankooplink gevonden op antratek.be (goedkoper of als reserve)</t>
        </is>
      </c>
    </row>
    <row r="4">
      <c r="A4" s="25" t="inlineStr">
        <is>
          <t>aliexpress</t>
        </is>
      </c>
      <c r="B4" t="inlineStr">
        <is>
          <t>AliExpress (China): gekozen bron voor de LC29HDA-RTK-rover-module</t>
        </is>
      </c>
    </row>
    <row r="5">
      <c r="A5" s="26" t="inlineStr">
        <is>
          <t>waveshare</t>
        </is>
      </c>
      <c r="B5" t="inlineStr">
        <is>
          <t>Waveshare (fabrikant, China): losse actieve L1/L5-GNSS-antenne (voorwaardelijk)</t>
        </is>
      </c>
    </row>
    <row r="6">
      <c r="A6" s="27" t="inlineStr">
        <is>
          <t>eckstein</t>
        </is>
      </c>
      <c r="B6" t="inlineStr">
        <is>
          <t>Eckstein (Duitsland, EU): Waveshare LC29H(DA)-HAT terugvaloptie; niet de huidige voorkeur</t>
        </is>
      </c>
    </row>
    <row r="7">
      <c r="A7" s="25" t="inlineStr">
        <is>
          <t>tme</t>
        </is>
      </c>
      <c r="B7" t="inlineStr">
        <is>
          <t>TME (Polen, EU): eerder gekozen LDO/TVS; montage van de componenten nog open</t>
        </is>
      </c>
    </row>
    <row r="8">
      <c r="A8" s="28" t="inlineStr">
        <is>
          <t>mouser</t>
        </is>
      </c>
      <c r="B8" t="inlineStr">
        <is>
          <t>Mouser.be / DigiKey met EU-magazijn: PTC, exacte onderdelen</t>
        </is>
      </c>
    </row>
    <row r="9">
      <c r="A9" s="29" t="inlineStr">
        <is>
          <t>niet nodig</t>
        </is>
      </c>
      <c r="B9" t="inlineStr">
        <is>
          <t>Niet bestellen of bewust niet voorzien; o.a. carrier-PCB en sockets vervallen (2026-10-09)</t>
        </is>
      </c>
    </row>
    <row r="10">
      <c r="A10" s="27" t="inlineStr">
        <is>
          <t>te bepalen</t>
        </is>
      </c>
      <c r="B10" t="inlineStr">
        <is>
          <t>Montage- of connectorbehoefte nog open; niet opgenomen in actieve totalen</t>
        </is>
      </c>
    </row>
    <row r="11">
      <c r="A11" s="30" t="inlineStr">
        <is>
          <t>hestore</t>
        </is>
      </c>
      <c r="B11" t="inlineStr">
        <is>
          <t>HESTORE (Hongarije, EU): historische schroefklemoptie; niet meer actief besteld</t>
        </is>
      </c>
    </row>
    <row r="12">
      <c r="A12" s="23" t="inlineStr">
        <is>
          <t>tinytronics</t>
        </is>
      </c>
      <c r="B12" t="inlineStr">
        <is>
          <t>TinyTronics (Nederland, EU): historische M3-set voor oude printmontage</t>
        </is>
      </c>
    </row>
    <row r="13">
      <c r="A13" s="31" t="inlineStr">
        <is>
          <t>aisler</t>
        </is>
      </c>
      <c r="B13" t="inlineStr">
        <is>
          <t>Historische fabrikant van de vervallen carrier-PCB; niet bestellen</t>
        </is>
      </c>
    </row>
    <row r="14">
      <c r="A14" s="25" t="inlineStr">
        <is>
          <t>schatting</t>
        </is>
      </c>
      <c r="B14" t="inlineStr">
        <is>
          <t>Prijs is een schatting; apart te bestellen bij een componentenwinkel</t>
        </is>
      </c>
    </row>
    <row r="15">
      <c r="A15" s="32" t="inlineStr">
        <is>
          <t>al in bezit</t>
        </is>
      </c>
      <c r="B15" t="inlineStr">
        <is>
          <t>Heeft de gebruiker al; niet aankopen</t>
        </is>
      </c>
    </row>
    <row r="16">
      <c r="A16" s="33" t="inlineStr">
        <is>
          <t>geen link</t>
        </is>
      </c>
      <c r="B16" t="inlineStr">
        <is>
          <t>Niet gevonden bij Kiwi of antratek; nog geen prijs</t>
        </is>
      </c>
    </row>
    <row r="17">
      <c r="A17" s="27" t="inlineStr">
        <is>
          <t>onderzoek</t>
        </is>
      </c>
      <c r="B17" t="inlineStr">
        <is>
          <t>Zoekrichting bekend, maar productlisting/prijs nog niet gevalideerd</t>
        </is>
      </c>
    </row>
    <row r="18">
      <c r="A18" s="29" t="inlineStr">
        <is>
          <t>niet nodig</t>
        </is>
      </c>
      <c r="B18" t="inlineStr">
        <is>
          <t>Bewust niet voorzien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8" customWidth="1" min="3" max="3"/>
    <col width="46" customWidth="1" min="4" max="4"/>
  </cols>
  <sheetData>
    <row r="1" ht="24" customHeight="1">
      <c r="A1" s="34" t="inlineStr">
        <is>
          <t>Bedrading en montage - open keuzes (2026-10-09)</t>
        </is>
      </c>
    </row>
    <row r="2">
      <c r="A2" s="35" t="inlineStr">
        <is>
          <t>Huidige aanpak: handbedrading en behuizing</t>
        </is>
      </c>
    </row>
    <row r="3">
      <c r="A3" s="6" t="inlineStr">
        <is>
          <t>Geen eigen carrier-PCB en geen socket-headers. De gebruiker bedradt en soldeert zelf; de onderdelen worden aan een 3D-geprinte behuizing gemonteerd.</t>
        </is>
      </c>
      <c r="B3" s="6" t="n"/>
      <c r="C3" s="6" t="n"/>
      <c r="D3" s="6" t="n"/>
    </row>
    <row r="4">
      <c r="A4" s="6" t="inlineStr">
        <is>
          <t>Breakoutmodules</t>
        </is>
      </c>
      <c r="B4" s="6" t="inlineStr">
        <is>
          <t>Blijven behouden</t>
        </is>
      </c>
      <c r="C4" s="6" t="inlineStr">
        <is>
          <t>Zelf bedraden; exacte verbindingen nog uit te werken</t>
        </is>
      </c>
      <c r="D4" s="6" t="n"/>
    </row>
    <row r="5">
      <c r="A5" s="6" t="inlineStr">
        <is>
          <t>Montagehardware</t>
        </is>
      </c>
      <c r="B5" s="6" t="inlineStr">
        <is>
          <t>Nog te bepalen</t>
        </is>
      </c>
      <c r="C5" s="6" t="inlineStr">
        <is>
          <t>Niet toevoegen of online opzoeken voordat montagewijze bevestigd is</t>
        </is>
      </c>
      <c r="D5" s="6" t="n"/>
    </row>
    <row r="6">
      <c r="A6" s="6" t="inlineStr">
        <is>
          <t>UART-/uitbreidingsconnector</t>
        </is>
      </c>
      <c r="B6" s="6" t="inlineStr">
        <is>
          <t>Nog te bepalen</t>
        </is>
      </c>
      <c r="C6" s="6" t="inlineStr">
        <is>
          <t>Eerder gekozen schroefklem kan vervallen bij rechtstreeks bedraden</t>
        </is>
      </c>
      <c r="D6" s="6" t="n"/>
    </row>
    <row r="7">
      <c r="A7" s="6" t="inlineStr">
        <is>
          <t>Voedingsinvoer</t>
        </is>
      </c>
      <c r="B7" s="6" t="inlineStr">
        <is>
          <t>Nog te bepalen</t>
        </is>
      </c>
      <c r="C7" s="6" t="inlineStr">
        <is>
          <t>Bestaande barrel-adapter aanwezig; paneel-/behuizingsmontage open</t>
        </is>
      </c>
      <c r="D7" s="6" t="n"/>
    </row>
    <row r="8">
      <c r="A8" s="6" t="inlineStr">
        <is>
          <t>PTC, TVS, LDO en ontkoppeling</t>
        </is>
      </c>
      <c r="B8" s="6" t="inlineStr">
        <is>
          <t>Functies voorlopig behouden</t>
        </is>
      </c>
      <c r="C8" s="6" t="inlineStr">
        <is>
          <t>Handbedrading en mechanische ondersteuning nog uit te werken</t>
        </is>
      </c>
      <c r="D8" s="6" t="n"/>
    </row>
    <row r="10">
      <c r="A10" s="35" t="inlineStr">
        <is>
          <t>Vervallen bestellingen</t>
        </is>
      </c>
    </row>
    <row r="11">
      <c r="A11" s="6" t="inlineStr">
        <is>
          <t>Carrier-PCB bij AISLER</t>
        </is>
      </c>
      <c r="B11" s="6" t="inlineStr">
        <is>
          <t>Niet nodig</t>
        </is>
      </c>
      <c r="C11" s="6" t="inlineStr">
        <is>
          <t>Geen print produceren of bestellen</t>
        </is>
      </c>
      <c r="D11" s="6" t="n"/>
    </row>
    <row r="12">
      <c r="A12" s="6" t="inlineStr">
        <is>
          <t>Socket-headers</t>
        </is>
      </c>
      <c r="B12" s="6" t="inlineStr">
        <is>
          <t>Niet nodig</t>
        </is>
      </c>
      <c r="C12" s="6" t="inlineStr">
        <is>
          <t>Breakoutmodules worden met draden aangesloten en gesoldeerd</t>
        </is>
      </c>
      <c r="D12" s="6" t="n"/>
    </row>
    <row r="13">
      <c r="A13" s="6" t="inlineStr">
        <is>
          <t>PCB-barreljack</t>
        </is>
      </c>
      <c r="B13" s="6" t="inlineStr">
        <is>
          <t>Niet nodig</t>
        </is>
      </c>
      <c r="C13" s="6" t="inlineStr">
        <is>
          <t>Specifiek gekozen voor montage op de vervallen PCB</t>
        </is>
      </c>
      <c r="D13" s="6" t="n"/>
    </row>
    <row r="14">
      <c r="A14" s="6" t="inlineStr">
        <is>
          <t>Oude M3-set</t>
        </is>
      </c>
      <c r="B14" s="6" t="inlineStr">
        <is>
          <t>Niet actief</t>
        </is>
      </c>
      <c r="C14" s="6" t="inlineStr">
        <is>
          <t>Was bedoeld voor printmontage; behuizingsbevestiging nog te bepalen</t>
        </is>
      </c>
      <c r="D14" s="6" t="n"/>
    </row>
    <row r="16">
      <c r="A16" s="35" t="inlineStr">
        <is>
          <t>Vervolgstappen (geen nieuwe aankopen vastgelegd)</t>
        </is>
      </c>
    </row>
    <row r="17">
      <c r="A17" s="6" t="inlineStr">
        <is>
          <t>1. Bevestig hoe de breakoutmodules en losse componenten aan de behuizing worden gemonteerd</t>
        </is>
      </c>
      <c r="B17" s="6" t="n"/>
      <c r="C17" s="6" t="n"/>
      <c r="D17" s="6" t="n"/>
    </row>
    <row r="18">
      <c r="A18" s="6" t="inlineStr">
        <is>
          <t>2. Werk bedradingsroute, isolatie/ondersteuning en trekontlasting uit</t>
        </is>
      </c>
      <c r="B18" s="6" t="n"/>
      <c r="C18" s="6" t="n"/>
      <c r="D18" s="6" t="n"/>
    </row>
    <row r="19">
      <c r="A19" s="6" t="inlineStr">
        <is>
          <t>3. Bevestig of de UART-klem en voedingsaansluiting nodig blijven</t>
        </is>
      </c>
      <c r="B19" s="6" t="n"/>
      <c r="C19" s="6" t="n"/>
      <c r="D19" s="6" t="n"/>
    </row>
    <row r="20">
      <c r="A20" s="6" t="inlineStr">
        <is>
          <t>4. Controleer of aanwezige draad en printmateriaal volstaan; koop niets nieuws zonder bevestiging</t>
        </is>
      </c>
      <c r="B20" s="6" t="n"/>
      <c r="C20" s="6" t="n"/>
      <c r="D20" s="6" t="n"/>
    </row>
    <row r="21">
      <c r="A21" s="6" t="inlineStr">
        <is>
          <t>5. Herbereken de bestellijst nadat de montagekeuzes vastliggen</t>
        </is>
      </c>
      <c r="B21" s="6" t="n"/>
      <c r="C21" s="6" t="n"/>
      <c r="D21" s="6" t="n"/>
    </row>
  </sheetData>
  <mergeCells count="4">
    <mergeCell ref="A1:D1"/>
    <mergeCell ref="A10:D10"/>
    <mergeCell ref="A2:D2"/>
    <mergeCell ref="A16:D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20" customWidth="1" min="3" max="3"/>
    <col width="40" customWidth="1" min="4" max="4"/>
  </cols>
  <sheetData>
    <row r="1" ht="24" customHeight="1">
      <c r="A1" s="34" t="inlineStr">
        <is>
          <t>Bestelbaarheid - historische controle op 2026-10-06 (geen actuele besteladviezen)</t>
        </is>
      </c>
    </row>
    <row r="2">
      <c r="A2" s="22" t="inlineStr">
        <is>
          <t>Winkel</t>
        </is>
      </c>
      <c r="B2" s="22" t="inlineStr">
        <is>
          <t>Artikel</t>
        </is>
      </c>
      <c r="C2" s="22" t="inlineStr">
        <is>
          <t>Voorraad</t>
        </is>
      </c>
      <c r="D2" s="22" t="inlineStr">
        <is>
          <t>Opmerking</t>
        </is>
      </c>
    </row>
    <row r="3">
      <c r="A3" s="6" t="inlineStr">
        <is>
          <t>Kiwi Electronics</t>
        </is>
      </c>
      <c r="B3" s="6" t="inlineStr">
        <is>
          <t>Adafruit BNO085 9-DoF IMU</t>
        </is>
      </c>
      <c r="C3" s="6" t="inlineStr">
        <is>
          <t>11 st.</t>
        </is>
      </c>
      <c r="D3" s="6" t="inlineStr">
        <is>
          <t>prijs bevestigd</t>
        </is>
      </c>
    </row>
    <row r="4">
      <c r="A4" s="6" t="inlineStr">
        <is>
          <t>Kiwi Electronics</t>
        </is>
      </c>
      <c r="B4" s="6" t="inlineStr">
        <is>
          <t>Adafruit BMP581 barometer</t>
        </is>
      </c>
      <c r="C4" s="6" t="inlineStr">
        <is>
          <t>4 st.</t>
        </is>
      </c>
      <c r="D4" s="6" t="inlineStr">
        <is>
          <t>KNAPPE voorraad</t>
        </is>
      </c>
    </row>
    <row r="5">
      <c r="A5" s="6" t="inlineStr">
        <is>
          <t>Kiwi Electronics</t>
        </is>
      </c>
      <c r="B5" s="6" t="inlineStr">
        <is>
          <t>TXB0108 level converter</t>
        </is>
      </c>
      <c r="C5" s="6" t="inlineStr">
        <is>
          <t>17 st.</t>
        </is>
      </c>
      <c r="D5" s="6" t="inlineStr"/>
    </row>
    <row r="6">
      <c r="A6" s="6" t="inlineStr">
        <is>
          <t>Kiwi Electronics</t>
        </is>
      </c>
      <c r="B6" s="6" t="inlineStr">
        <is>
          <t>3 mm LED rood (10-pack)</t>
        </is>
      </c>
      <c r="C6" s="6" t="inlineStr">
        <is>
          <t>193 st.</t>
        </is>
      </c>
      <c r="D6" s="6" t="inlineStr">
        <is>
          <t>HEEFT DE GEBRUIKER THUIS - niet bestellen</t>
        </is>
      </c>
    </row>
    <row r="7">
      <c r="A7" s="6" t="inlineStr">
        <is>
          <t>Kiwi Electronics</t>
        </is>
      </c>
      <c r="B7" s="6" t="inlineStr">
        <is>
          <t>Weerstand 330 Ohm (10 st.)</t>
        </is>
      </c>
      <c r="C7" s="6" t="inlineStr">
        <is>
          <t>115 st.</t>
        </is>
      </c>
      <c r="D7" s="6" t="inlineStr">
        <is>
          <t>HEEFT DE GEBRUIKER THUIS - niet bestellen</t>
        </is>
      </c>
    </row>
    <row r="8">
      <c r="A8" s="6" t="inlineStr">
        <is>
          <t>Kiwi Electronics</t>
        </is>
      </c>
      <c r="B8" s="6" t="inlineStr">
        <is>
          <t>Keramische condensator kit</t>
        </is>
      </c>
      <c r="C8" s="6" t="inlineStr">
        <is>
          <t>2 st.</t>
        </is>
      </c>
      <c r="D8" s="6" t="inlineStr">
        <is>
          <t>KNAPPE voorraad</t>
        </is>
      </c>
    </row>
    <row r="9">
      <c r="A9" s="6" t="inlineStr">
        <is>
          <t>Kiwi Electronics</t>
        </is>
      </c>
      <c r="B9" s="6" t="inlineStr">
        <is>
          <t>100 uF / 16 V elco</t>
        </is>
      </c>
      <c r="C9" s="6" t="inlineStr">
        <is>
          <t>72 st.</t>
        </is>
      </c>
      <c r="D9" s="6" t="inlineStr"/>
    </row>
    <row r="10">
      <c r="A10" s="6" t="inlineStr">
        <is>
          <t>antratek.be</t>
        </is>
      </c>
      <c r="B10" s="6" t="inlineStr">
        <is>
          <t>XIAO ESP32S3 + Wio-SX1262 kit</t>
        </is>
      </c>
      <c r="C10" s="6" t="inlineStr">
        <is>
          <t>op voorraad</t>
        </is>
      </c>
      <c r="D10" s="6" t="inlineStr">
        <is>
          <t>2x nodig</t>
        </is>
      </c>
    </row>
    <row r="11">
      <c r="A11" s="6" t="inlineStr">
        <is>
          <t>antratek.be</t>
        </is>
      </c>
      <c r="B11" s="6" t="inlineStr">
        <is>
          <t>SMA -&gt; U.FL pigtail 150 mm</t>
        </is>
      </c>
      <c r="C11" s="6" t="inlineStr">
        <is>
          <t>op voorraad</t>
        </is>
      </c>
      <c r="D11" s="6" t="inlineStr"/>
    </row>
    <row r="12">
      <c r="A12" s="6" t="inlineStr">
        <is>
          <t>TME (EU)</t>
        </is>
      </c>
      <c r="B12" s="6" t="inlineStr">
        <is>
          <t>AP2112K-3.3TRG1 (LDO)</t>
        </is>
      </c>
      <c r="C12" s="6" t="inlineStr">
        <is>
          <t>8 198</t>
        </is>
      </c>
      <c r="D12" s="6" t="inlineStr">
        <is>
          <t>prijs uit snippet (TME 403)</t>
        </is>
      </c>
    </row>
    <row r="13">
      <c r="A13" s="6" t="inlineStr">
        <is>
          <t>TME (EU)</t>
        </is>
      </c>
      <c r="B13" s="6" t="inlineStr">
        <is>
          <t>SMBJ10A-TR (TVS)</t>
        </is>
      </c>
      <c r="C13" s="6" t="inlineStr">
        <is>
          <t>1 820</t>
        </is>
      </c>
      <c r="D13" s="6" t="inlineStr">
        <is>
          <t>prijs uit snippet</t>
        </is>
      </c>
    </row>
    <row r="14">
      <c r="A14" s="6" t="inlineStr">
        <is>
          <t>TME (EU)</t>
        </is>
      </c>
      <c r="B14" s="6" t="inlineStr">
        <is>
          <t>AO3401A (P-MOSFET)</t>
        </is>
      </c>
      <c r="C14" s="6" t="inlineStr">
        <is>
          <t>22 840</t>
        </is>
      </c>
      <c r="D14" s="6" t="inlineStr">
        <is>
          <t>NIET GEBRUIKT - P-MOSFET vervalt (2026-10-06)</t>
        </is>
      </c>
    </row>
    <row r="15">
      <c r="A15" s="6" t="inlineStr">
        <is>
          <t>Mouser/DigiKey</t>
        </is>
      </c>
      <c r="B15" s="6" t="inlineStr">
        <is>
          <t>DMG2301L-7 (P-MOSFET)</t>
        </is>
      </c>
      <c r="C15" s="6" t="inlineStr">
        <is>
          <t>losse aantallen</t>
        </is>
      </c>
      <c r="D15" s="6" t="inlineStr">
        <is>
          <t>NIET GEBRUIKT - P-MOSFET vervalt (2026-10-06)</t>
        </is>
      </c>
    </row>
    <row r="16">
      <c r="A16" s="6" t="inlineStr">
        <is>
          <t>Mouser/DigiKey</t>
        </is>
      </c>
      <c r="B16" s="6" t="inlineStr">
        <is>
          <t>1812L200/16DR (PTC 2 A 16 V)</t>
        </is>
      </c>
      <c r="C16" s="6" t="inlineStr">
        <is>
          <t>14 555 / 9 900</t>
        </is>
      </c>
      <c r="D16" s="6" t="inlineStr"/>
    </row>
    <row r="17">
      <c r="A17" s="6" t="inlineStr">
        <is>
          <t>TME (EU)</t>
        </is>
      </c>
      <c r="B17" s="6" t="inlineStr">
        <is>
          <t>Preci-Dip socket 2,54 mm</t>
        </is>
      </c>
      <c r="C17" s="6" t="inlineStr">
        <is>
          <t>MOQ 380 (business)</t>
        </is>
      </c>
      <c r="D17" s="6" t="inlineStr">
        <is>
          <t>historische regel; sockets vervallen op 2026-10-09</t>
        </is>
      </c>
    </row>
    <row r="18">
      <c r="A18" s="6" t="inlineStr">
        <is>
          <t>HESTORE (EU)</t>
        </is>
      </c>
      <c r="B18" s="6" t="inlineStr">
        <is>
          <t>DEGSON DG250-3.5-04P (push-in)</t>
        </is>
      </c>
      <c r="C18" s="6" t="inlineStr">
        <is>
          <t>&gt; 10</t>
        </is>
      </c>
      <c r="D18" s="6" t="inlineStr">
        <is>
          <t>EUR 0,52 excl.</t>
        </is>
      </c>
    </row>
    <row r="19">
      <c r="A19" s="6" t="inlineStr">
        <is>
          <t>HESTORE (EU)</t>
        </is>
      </c>
      <c r="B19" s="6" t="inlineStr">
        <is>
          <t>DEGSON 15EDGK-3.5/4P (schroef)</t>
        </is>
      </c>
      <c r="C19" s="6" t="inlineStr">
        <is>
          <t>&gt; 15</t>
        </is>
      </c>
      <c r="D19" s="6" t="inlineStr">
        <is>
          <t>schroefvariant</t>
        </is>
      </c>
    </row>
    <row r="20">
      <c r="A20" s="6" t="inlineStr">
        <is>
          <t>TinyTronics (NL)</t>
        </is>
      </c>
      <c r="B20" s="6" t="inlineStr">
        <is>
          <t>M3 Afstandsbusje Kit</t>
        </is>
      </c>
      <c r="C20" s="6" t="inlineStr">
        <is>
          <t>50+</t>
        </is>
      </c>
      <c r="D20" s="6" t="inlineStr">
        <is>
          <t>historische prijs; bedoeld voor de vervallen PCB-montage</t>
        </is>
      </c>
    </row>
    <row r="21">
      <c r="A21" s="6" t="inlineStr">
        <is>
          <t>Bits &amp; Parts (NL)</t>
        </is>
      </c>
      <c r="B21" s="6" t="inlineStr">
        <is>
          <t>M3 spacer-set 180-delig</t>
        </is>
      </c>
      <c r="C21" s="6" t="inlineStr">
        <is>
          <t>op voorraad</t>
        </is>
      </c>
      <c r="D21" s="6" t="inlineStr">
        <is>
          <t>historische prijs; montage voor behuizing nog te bepalen</t>
        </is>
      </c>
    </row>
    <row r="22">
      <c r="A22" s="6" t="inlineStr">
        <is>
          <t>Eckstein (DE)</t>
        </is>
      </c>
      <c r="B22" s="6" t="inlineStr">
        <is>
          <t>Waveshare LC29H(DA) HAT 25279 (WS25279)</t>
        </is>
      </c>
      <c r="C22" s="6" t="inlineStr">
        <is>
          <t>leverbaar</t>
        </is>
      </c>
      <c r="D22" s="6" t="inlineStr">
        <is>
          <t>Terugvaloptie - EUR 71,39 incl.; niet huidige voorkeur</t>
        </is>
      </c>
    </row>
    <row r="23">
      <c r="A23" s="6" t="inlineStr">
        <is>
          <t>AliExpress (China)</t>
        </is>
      </c>
      <c r="B23" s="6" t="inlineStr">
        <is>
          <t>LC29HDA RTK-GNSS-developmentboard (item 1005009915138674)</t>
        </is>
      </c>
      <c r="C23" s="6" t="inlineStr">
        <is>
          <t>richtprijs EUR 36,99</t>
        </is>
      </c>
      <c r="D23" s="6" t="inlineStr">
        <is>
          <t>kies de LC29HDA (rover)-variant, geen LC29HBS en geen losse SMD-module</t>
        </is>
      </c>
    </row>
    <row r="24">
      <c r="A24" s="6" t="inlineStr">
        <is>
          <t>Kamami (PL)</t>
        </is>
      </c>
      <c r="B24" s="6" t="inlineStr">
        <is>
          <t>Waveshare LC29H(DA) HAT 25279</t>
        </is>
      </c>
      <c r="C24" s="6" t="inlineStr">
        <is>
          <t>24 u</t>
        </is>
      </c>
      <c r="D24" s="6" t="inlineStr">
        <is>
          <t>~EUR 63 = goedkoopste EU</t>
        </is>
      </c>
    </row>
    <row r="25">
      <c r="A25" s="6" t="inlineStr">
        <is>
          <t>Botland (EU)</t>
        </is>
      </c>
      <c r="B25" s="6" t="inlineStr">
        <is>
          <t>Waveshare LC29H(DA) HAT 25279</t>
        </is>
      </c>
      <c r="C25" s="6" t="inlineStr">
        <is>
          <t>op voorraad</t>
        </is>
      </c>
      <c r="D25" s="6" t="inlineStr">
        <is>
          <t>EUR 70,50</t>
        </is>
      </c>
    </row>
    <row r="26">
      <c r="A26" s="6" t="inlineStr">
        <is>
          <t>HESTORE (EU)</t>
        </is>
      </c>
      <c r="B26" s="6" t="inlineStr">
        <is>
          <t>Waveshare LC29H(DA) HAT 25279</t>
        </is>
      </c>
      <c r="C26" s="6" t="inlineStr">
        <is>
          <t>&gt; 2</t>
        </is>
      </c>
      <c r="D26" s="6" t="inlineStr">
        <is>
          <t>~EUR 110 incl. = duur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2026-10-09T17:36:09Z</dcterms:created>
  <dcterms:modified xsi:type="dcterms:W3CDTF">2026-10-09T17:36:09Z</dcterms:modified>
</cp:coreProperties>
</file>