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stellijst" sheetId="1" state="visible" r:id="rId1"/>
    <sheet name="Legende" sheetId="2" state="visible" r:id="rId2"/>
    <sheet name="Bestelschema PCB" sheetId="3" state="visible" r:id="rId3"/>
  </sheets>
  <definedNames>
    <definedName name="_xlnm._FilterDatabase" localSheetId="0" hidden="1">'Bestellijst'!$A$2:$J$40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EUR&quot;"/>
  </numFmts>
  <fonts count="7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  <color rgb="001F3864"/>
    </font>
    <font>
      <color rgb="000563C1"/>
      <u val="single"/>
    </font>
    <font>
      <b val="1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DCE4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E1D5E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3864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0" borderId="1" applyAlignment="1" pivotButton="0" quotePrefix="0" xfId="0">
      <alignment horizontal="right" vertical="top"/>
    </xf>
    <xf numFmtId="0" fontId="0" fillId="4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8" borderId="1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5" fillId="0" borderId="2" applyAlignment="1" pivotButton="0" quotePrefix="0" xfId="0">
      <alignment horizontal="right" vertical="center"/>
    </xf>
    <xf numFmtId="0" fontId="0" fillId="0" borderId="2" pivotButton="0" quotePrefix="0" xfId="0"/>
    <xf numFmtId="164" fontId="5" fillId="0" borderId="2" applyAlignment="1" pivotButton="0" quotePrefix="0" xfId="0">
      <alignment horizontal="right"/>
    </xf>
    <xf numFmtId="0" fontId="6" fillId="0" borderId="0" pivotButton="0" quotePrefix="0" xfId="0"/>
    <xf numFmtId="0" fontId="2" fillId="2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10" borderId="0" pivotButton="0" quotePrefix="0" xfId="0"/>
    <xf numFmtId="0" fontId="0" fillId="8" borderId="0" pivotButton="0" quotePrefix="0" xfId="0"/>
    <xf numFmtId="0" fontId="0" fillId="7" borderId="0" pivotButton="0" quotePrefix="0" xfId="0"/>
    <xf numFmtId="0" fontId="0" fillId="6" borderId="0" pivotButton="0" quotePrefix="0" xfId="0"/>
    <xf numFmtId="0" fontId="0" fillId="9" borderId="0" pivotButton="0" quotePrefix="0" xfId="0"/>
    <xf numFmtId="0" fontId="1" fillId="2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ntratek.be/xiao-esp32s3-for-meshtastic-lora" TargetMode="External" Id="rId1" /><Relationship Type="http://schemas.openxmlformats.org/officeDocument/2006/relationships/hyperlink" Target="https://www.kiwi-electronics.com/nl/adafruit-9-dof-orientation-imu-fusion-breakout-bno085-bno080-stemma-qt-qwiic-11273" TargetMode="External" Id="rId2" /><Relationship Type="http://schemas.openxmlformats.org/officeDocument/2006/relationships/hyperlink" Target="https://www.kiwi-electronics.com/nl/adafruit-bmp581-i2c-spi-druk-en-temperatuursensor-stemma-qt-20534" TargetMode="External" Id="rId3" /><Relationship Type="http://schemas.openxmlformats.org/officeDocument/2006/relationships/hyperlink" Target="https://www.kiwi-electronics.com/nl/gps-antenne-externe-actieve-antenne-3-5v-28db-5-meter-sma-620" TargetMode="External" Id="rId4" /><Relationship Type="http://schemas.openxmlformats.org/officeDocument/2006/relationships/hyperlink" Target="https://www.antratek.be/u-fl-sma-150mm-cable" TargetMode="External" Id="rId5" /><Relationship Type="http://schemas.openxmlformats.org/officeDocument/2006/relationships/hyperlink" Target="https://aisler.net" TargetMode="External" Id="rId6" /><Relationship Type="http://schemas.openxmlformats.org/officeDocument/2006/relationships/hyperlink" Target="https://www.kiwi-electronics.com/nl/8-channel-bi-directional-logic-level-converter-txb0108-836" TargetMode="External" Id="rId7" /><Relationship Type="http://schemas.openxmlformats.org/officeDocument/2006/relationships/hyperlink" Target="https://www.kiwi-electronics.com/nl/3mm-led-diffuus-rood-10-pack-3085" TargetMode="External" Id="rId8" /><Relationship Type="http://schemas.openxmlformats.org/officeDocument/2006/relationships/hyperlink" Target="https://www.kiwi-electronics.com/nl/keramische-condensator-kit-in-doos-15-soorten-450-stuks-10492" TargetMode="External" Id="rId9" /><Relationship Type="http://schemas.openxmlformats.org/officeDocument/2006/relationships/hyperlink" Target="https://www.kiwi-electronics.com/nl/100uf-16v-condensator-440" TargetMode="External" Id="rId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46" customWidth="1" min="3" max="3"/>
    <col width="8" customWidth="1" min="4" max="4"/>
    <col width="14" customWidth="1" min="5" max="5"/>
    <col width="14" customWidth="1" min="6" max="6"/>
    <col width="12" customWidth="1" min="7" max="7"/>
    <col width="16" customWidth="1" min="8" max="8"/>
    <col width="52" customWidth="1" min="9" max="9"/>
    <col width="52" customWidth="1" min="10" max="10"/>
  </cols>
  <sheetData>
    <row r="1" ht="24" customHeight="1">
      <c r="A1" s="1" t="inlineStr">
        <is>
          <t>Bestellijst G-Stem meettoestel - prijzen incl. btw (Kiwi Electronics + antratek + AISLER, 2026-10-06)</t>
        </is>
      </c>
    </row>
    <row r="2" ht="22" customHeight="1">
      <c r="A2" s="2" t="inlineStr">
        <is>
          <t>Categorie</t>
        </is>
      </c>
      <c r="B2" s="2" t="inlineStr">
        <is>
          <t>Functie</t>
        </is>
      </c>
      <c r="C2" s="2" t="inlineStr">
        <is>
          <t>Onderdeel</t>
        </is>
      </c>
      <c r="D2" s="2" t="inlineStr">
        <is>
          <t>Aantal</t>
        </is>
      </c>
      <c r="E2" s="2" t="inlineStr">
        <is>
          <t>Prijs/st (EUR)</t>
        </is>
      </c>
      <c r="F2" s="2" t="inlineStr">
        <is>
          <t>Totaal (EUR)</t>
        </is>
      </c>
      <c r="G2" s="2" t="inlineStr">
        <is>
          <t>Status</t>
        </is>
      </c>
      <c r="H2" s="2" t="inlineStr">
        <is>
          <t>Leverancier</t>
        </is>
      </c>
      <c r="I2" s="2" t="inlineStr">
        <is>
          <t>Link</t>
        </is>
      </c>
      <c r="J2" s="2" t="inlineStr">
        <is>
          <t>Opmerking</t>
        </is>
      </c>
    </row>
    <row r="3" ht="18" customHeight="1">
      <c r="A3" s="3" t="inlineStr">
        <is>
          <t>Rekenkern en communicatie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5" t="inlineStr">
        <is>
          <t>Rekenkern en communicatie</t>
        </is>
      </c>
      <c r="B4" s="6" t="inlineStr">
        <is>
          <t>Rekenkern + LoRa (toestel + ontvanger)</t>
        </is>
      </c>
      <c r="C4" s="6" t="inlineStr">
        <is>
          <t>XIAO ESP32S3 &amp; Wio-SX1262 Kit for Meshtastic &amp; LoRa</t>
        </is>
      </c>
      <c r="D4" s="7" t="n">
        <v>2</v>
      </c>
      <c r="E4" s="8" t="n">
        <v>15.13</v>
      </c>
      <c r="F4" s="8" t="n">
        <v>30.26</v>
      </c>
      <c r="G4" s="9" t="inlineStr">
        <is>
          <t>antratek</t>
        </is>
      </c>
      <c r="H4" s="5" t="inlineStr">
        <is>
          <t>antratek.be</t>
        </is>
      </c>
      <c r="I4" s="10" t="inlineStr">
        <is>
          <t>https://www.antratek.be/xiao-esp32s3-for-meshtastic-lora</t>
        </is>
      </c>
      <c r="J4" s="6" t="inlineStr">
        <is>
          <t>1x toestel, 1x LoRa-ontvanger laptop; antenne inbegrepen. Kiwi verkoopt XIAO (EUR 8,46) + Wio-SX1262 (EUR 5,43) apart, maar de Wio-module is daar NIET op voorraad</t>
        </is>
      </c>
    </row>
    <row r="5" ht="18" customHeight="1">
      <c r="A5" s="3" t="inlineStr">
        <is>
          <t>Sensoren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>
      <c r="A6" s="5" t="inlineStr">
        <is>
          <t>Sensoren</t>
        </is>
      </c>
      <c r="B6" s="6" t="inlineStr">
        <is>
          <t>9-DoF IMU</t>
        </is>
      </c>
      <c r="C6" s="6" t="inlineStr">
        <is>
          <t>Adafruit 9-DOF Orientation IMU Fusion Breakout - BNO085 (BNO080) - STEMMA QT/Qwiic</t>
        </is>
      </c>
      <c r="D6" s="7" t="n">
        <v>1</v>
      </c>
      <c r="E6" s="8" t="n">
        <v>32.05</v>
      </c>
      <c r="F6" s="8" t="n">
        <v>32.05</v>
      </c>
      <c r="G6" s="11" t="inlineStr">
        <is>
          <t>kiwi</t>
        </is>
      </c>
      <c r="H6" s="5" t="inlineStr">
        <is>
          <t>Kiwi Electronics</t>
        </is>
      </c>
      <c r="I6" s="10" t="inlineStr">
        <is>
          <t>https://www.kiwi-electronics.com/nl/adafruit-9-dof-orientation-imu-fusion-breakout-bno085-bno080-stemma-qt-qwiic-11273</t>
        </is>
      </c>
      <c r="J6" s="6" t="inlineStr">
        <is>
          <t>Goedkoper en nieuwer dan de BNO055 (anratek EUR 36,24)</t>
        </is>
      </c>
    </row>
    <row r="7">
      <c r="A7" s="5" t="inlineStr">
        <is>
          <t>Sensoren</t>
        </is>
      </c>
      <c r="B7" s="6" t="inlineStr">
        <is>
          <t>Barometer</t>
        </is>
      </c>
      <c r="C7" s="6" t="inlineStr">
        <is>
          <t>Adafruit BMP581 I2C/SPI Druk- en Temperatuursensor - STEMMA QT</t>
        </is>
      </c>
      <c r="D7" s="7" t="n">
        <v>1</v>
      </c>
      <c r="E7" s="8" t="n">
        <v>10.88</v>
      </c>
      <c r="F7" s="8" t="n">
        <v>10.88</v>
      </c>
      <c r="G7" s="11" t="inlineStr">
        <is>
          <t>kiwi</t>
        </is>
      </c>
      <c r="H7" s="5" t="inlineStr">
        <is>
          <t>Kiwi Electronics</t>
        </is>
      </c>
      <c r="I7" s="10" t="inlineStr">
        <is>
          <t>https://www.kiwi-electronics.com/nl/adafruit-bmp581-i2c-spi-druk-en-temperatuursensor-stemma-qt-20534</t>
        </is>
      </c>
      <c r="J7" s="6" t="inlineStr">
        <is>
          <t>Nauwkeuriger dan BME280; BMP390L is bij Kiwi uit voorraad en niet op antratek</t>
        </is>
      </c>
    </row>
    <row r="8">
      <c r="A8" s="5" t="inlineStr">
        <is>
          <t>Sensoren</t>
        </is>
      </c>
      <c r="B8" s="6" t="inlineStr">
        <is>
          <t>RTK-GNSS-module</t>
        </is>
      </c>
      <c r="C8" s="6" t="inlineStr">
        <is>
          <t>Quectel LC29H(DA)</t>
        </is>
      </c>
      <c r="D8" s="7" t="n">
        <v>1</v>
      </c>
      <c r="E8" s="5" t="n"/>
      <c r="F8" s="5" t="n"/>
      <c r="G8" s="12" t="inlineStr">
        <is>
          <t>geen link</t>
        </is>
      </c>
      <c r="H8" s="5" t="inlineStr">
        <is>
          <t>-</t>
        </is>
      </c>
      <c r="I8" s="6" t="inlineStr"/>
      <c r="J8" s="6" t="inlineStr">
        <is>
          <t>Niet bij Kiwi (alleen niet-RTK L76K) of antratek. Alternatief: LG290P RTK (EUR 217,74) of ZED-F9P (EUR 302,44)</t>
        </is>
      </c>
    </row>
    <row r="9" ht="18" customHeight="1">
      <c r="A9" s="3" t="inlineStr">
        <is>
          <t>Antennes en RF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5" t="inlineStr">
        <is>
          <t>Antennes en RF</t>
        </is>
      </c>
      <c r="B10" s="6" t="inlineStr">
        <is>
          <t>GNSS-antenne (actief, SMA)</t>
        </is>
      </c>
      <c r="C10" s="6" t="inlineStr">
        <is>
          <t>GPS Antenne - Externe Actieve Antenne - 3-5V 28dB 5 Meter SMA</t>
        </is>
      </c>
      <c r="D10" s="7" t="n">
        <v>1</v>
      </c>
      <c r="E10" s="8" t="n">
        <v>16.93</v>
      </c>
      <c r="F10" s="8" t="n">
        <v>16.93</v>
      </c>
      <c r="G10" s="11" t="inlineStr">
        <is>
          <t>kiwi</t>
        </is>
      </c>
      <c r="H10" s="5" t="inlineStr">
        <is>
          <t>Kiwi Electronics</t>
        </is>
      </c>
      <c r="I10" s="10" t="inlineStr">
        <is>
          <t>https://www.kiwi-electronics.com/nl/gps-antenne-externe-actieve-antenne-3-5v-28db-5-meter-sma-620</t>
        </is>
      </c>
      <c r="J10" s="6" t="inlineStr">
        <is>
          <t>Goedkoopste passende actieve SMA-antenne (L1). Upgrade voor dual-band RTK: L1/L5-antenne EUR 120,94</t>
        </is>
      </c>
    </row>
    <row r="11">
      <c r="A11" s="5" t="inlineStr">
        <is>
          <t>Antennes en RF</t>
        </is>
      </c>
      <c r="B11" s="6" t="inlineStr">
        <is>
          <t>LoRa IPEX/U.FL naar SMA pigtail</t>
        </is>
      </c>
      <c r="C11" s="6" t="inlineStr">
        <is>
          <t>Interface Cable SMA to U.FL (150 mm)</t>
        </is>
      </c>
      <c r="D11" s="7" t="n">
        <v>1</v>
      </c>
      <c r="E11" s="8" t="n">
        <v>3.57</v>
      </c>
      <c r="F11" s="8" t="n">
        <v>3.57</v>
      </c>
      <c r="G11" s="9" t="inlineStr">
        <is>
          <t>antratek</t>
        </is>
      </c>
      <c r="H11" s="5" t="inlineStr">
        <is>
          <t>antratek.be</t>
        </is>
      </c>
      <c r="I11" s="10" t="inlineStr">
        <is>
          <t>https://www.antratek.be/u-fl-sma-150mm-cable</t>
        </is>
      </c>
      <c r="J11" s="6" t="inlineStr">
        <is>
          <t>Goedkoper op antratek (EUR 3,57) dan Kiwi (EUR 4,22); bulkhead-bevestiging apart controleren</t>
        </is>
      </c>
    </row>
    <row r="12">
      <c r="A12" s="5" t="inlineStr">
        <is>
          <t>Antennes en RF</t>
        </is>
      </c>
      <c r="B12" s="6" t="inlineStr">
        <is>
          <t>LoRa-antenne</t>
        </is>
      </c>
      <c r="C12" s="6" t="inlineStr">
        <is>
          <t>Inbegrepen bij de XIAO-kit</t>
        </is>
      </c>
      <c r="D12" s="7" t="n">
        <v>1</v>
      </c>
      <c r="E12" s="5" t="n"/>
      <c r="F12" s="5" t="n"/>
      <c r="G12" s="13" t="inlineStr">
        <is>
          <t>al in bezit</t>
        </is>
      </c>
      <c r="H12" s="5" t="inlineStr">
        <is>
          <t>-</t>
        </is>
      </c>
      <c r="I12" s="6" t="inlineStr"/>
      <c r="J12" s="6" t="inlineStr"/>
    </row>
    <row r="13" ht="18" customHeight="1">
      <c r="A13" s="3" t="inlineStr">
        <is>
          <t>Voeding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5" t="inlineStr">
        <is>
          <t>Voeding</t>
        </is>
      </c>
      <c r="B14" s="6" t="inlineStr">
        <is>
          <t>Accu 7,4 V</t>
        </is>
      </c>
      <c r="C14" s="6" t="inlineStr">
        <is>
          <t>2S LiPo met connector en kabel (heeft de gebruiker)</t>
        </is>
      </c>
      <c r="D14" s="7" t="n">
        <v>1</v>
      </c>
      <c r="E14" s="5" t="n"/>
      <c r="F14" s="5" t="n"/>
      <c r="G14" s="13" t="inlineStr">
        <is>
          <t>al in bezit</t>
        </is>
      </c>
      <c r="H14" s="5" t="inlineStr">
        <is>
          <t>-</t>
        </is>
      </c>
      <c r="I14" s="6" t="inlineStr"/>
      <c r="J14" s="6" t="inlineStr"/>
    </row>
    <row r="15">
      <c r="A15" s="5" t="inlineStr">
        <is>
          <t>Voeding</t>
        </is>
      </c>
      <c r="B15" s="6" t="inlineStr">
        <is>
          <t>Voedingsaansluiting</t>
        </is>
      </c>
      <c r="C15" s="6" t="inlineStr">
        <is>
          <t>DC Barrel Jack Adapter - Female (heeft de gebruiker)</t>
        </is>
      </c>
      <c r="D15" s="7" t="n">
        <v>1</v>
      </c>
      <c r="E15" s="5" t="n"/>
      <c r="F15" s="5" t="n"/>
      <c r="G15" s="13" t="inlineStr">
        <is>
          <t>al in bezit</t>
        </is>
      </c>
      <c r="H15" s="5" t="inlineStr">
        <is>
          <t>-</t>
        </is>
      </c>
      <c r="I15" s="6" t="inlineStr"/>
      <c r="J15" s="6" t="inlineStr">
        <is>
          <t>Adapter met schroefklem; geen PCB-montage</t>
        </is>
      </c>
    </row>
    <row r="16">
      <c r="A16" s="5" t="inlineStr">
        <is>
          <t>Voeding</t>
        </is>
      </c>
      <c r="B16" s="6" t="inlineStr">
        <is>
          <t>Buck-converter 5 V</t>
        </is>
      </c>
      <c r="C16" s="6" t="inlineStr">
        <is>
          <t>Heeft de gebruiker</t>
        </is>
      </c>
      <c r="D16" s="7" t="n">
        <v>1</v>
      </c>
      <c r="E16" s="5" t="n"/>
      <c r="F16" s="5" t="n"/>
      <c r="G16" s="13" t="inlineStr">
        <is>
          <t>al in bezit</t>
        </is>
      </c>
      <c r="H16" s="5" t="inlineStr">
        <is>
          <t>-</t>
        </is>
      </c>
      <c r="I16" s="6" t="inlineStr"/>
      <c r="J16" s="6" t="inlineStr">
        <is>
          <t>Referentie antratek: Buck Regulator Breakout 5V (EUR 12,04)</t>
        </is>
      </c>
    </row>
    <row r="17">
      <c r="A17" s="5" t="inlineStr">
        <is>
          <t>Voeding</t>
        </is>
      </c>
      <c r="B17" s="6" t="inlineStr">
        <is>
          <t>Bescherming voeding</t>
        </is>
      </c>
      <c r="C17" s="6" t="inlineStr">
        <is>
          <t>2 A PTC + P-MOSFET DMG2301L + TVS SMBJ10A</t>
        </is>
      </c>
      <c r="D17" s="7" t="n">
        <v>1</v>
      </c>
      <c r="E17" s="8" t="n">
        <v>0.95</v>
      </c>
      <c r="F17" s="8" t="n">
        <v>0.95</v>
      </c>
      <c r="G17" s="14" t="inlineStr">
        <is>
          <t>schatting</t>
        </is>
      </c>
      <c r="H17" s="5" t="inlineStr">
        <is>
          <t>componentenwinkel</t>
        </is>
      </c>
      <c r="I17" s="6" t="inlineStr"/>
      <c r="J17" s="6" t="inlineStr">
        <is>
          <t>Niet bij Kiwi of antratek; prijs is een schatting (Mouser/LCSC)</t>
        </is>
      </c>
    </row>
    <row r="18">
      <c r="A18" s="5" t="inlineStr">
        <is>
          <t>Voeding</t>
        </is>
      </c>
      <c r="B18" s="6" t="inlineStr">
        <is>
          <t>LDO 3,3 V</t>
        </is>
      </c>
      <c r="C18" s="6" t="inlineStr">
        <is>
          <t>AP2112K-3.3 (of AMS1117-3.3)</t>
        </is>
      </c>
      <c r="D18" s="7" t="n">
        <v>1</v>
      </c>
      <c r="E18" s="8" t="n">
        <v>0.35</v>
      </c>
      <c r="F18" s="8" t="n">
        <v>0.35</v>
      </c>
      <c r="G18" s="14" t="inlineStr">
        <is>
          <t>schatting</t>
        </is>
      </c>
      <c r="H18" s="5" t="inlineStr">
        <is>
          <t>componentenwinkel</t>
        </is>
      </c>
      <c r="I18" s="6" t="inlineStr"/>
      <c r="J18" s="6" t="inlineStr">
        <is>
          <t>Niet bij Kiwi of antratek; prijs is een schatting</t>
        </is>
      </c>
    </row>
    <row r="19">
      <c r="A19" s="5" t="inlineStr">
        <is>
          <t>Voeding</t>
        </is>
      </c>
      <c r="B19" s="6" t="inlineStr">
        <is>
          <t>Aan/uit-schakelaar</t>
        </is>
      </c>
      <c r="C19" s="6" t="inlineStr">
        <is>
          <t>Geen; toestel start bij voeding</t>
        </is>
      </c>
      <c r="D19" s="5" t="n"/>
      <c r="E19" s="5" t="n"/>
      <c r="F19" s="5" t="n"/>
      <c r="G19" s="15" t="inlineStr">
        <is>
          <t>niet nodig</t>
        </is>
      </c>
      <c r="H19" s="5" t="inlineStr">
        <is>
          <t>-</t>
        </is>
      </c>
      <c r="I19" s="6" t="inlineStr"/>
      <c r="J19" s="6" t="inlineStr"/>
    </row>
    <row r="20" ht="18" customHeight="1">
      <c r="A20" s="3" t="inlineStr">
        <is>
          <t>Draagprint (PCB bij AISLER)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5" t="inlineStr">
        <is>
          <t>Draagprint (PCB bij AISLER)</t>
        </is>
      </c>
      <c r="B21" s="6" t="inlineStr">
        <is>
          <t>Draagprint (printplaat)</t>
        </is>
      </c>
      <c r="C21" s="6" t="inlineStr">
        <is>
          <t>2-laags 1,6 mm HASL, set van 3 stuks - AISLER</t>
        </is>
      </c>
      <c r="D21" s="7" t="n">
        <v>3</v>
      </c>
      <c r="E21" s="8" t="n">
        <v>10.92</v>
      </c>
      <c r="F21" s="8" t="n">
        <v>32.76</v>
      </c>
      <c r="G21" s="16" t="inlineStr">
        <is>
          <t>aisler</t>
        </is>
      </c>
      <c r="H21" s="5" t="inlineStr">
        <is>
          <t>AISLER</t>
        </is>
      </c>
      <c r="I21" s="10" t="inlineStr">
        <is>
          <t>https://aisler.net</t>
        </is>
      </c>
      <c r="J21" s="6" t="inlineStr">
        <is>
          <t>Schatting 75 cm2 (100x75 mm), incl. btw; Budget-service. Formule: EUR 12,00 + EUR 0,067/cm2 x oppervlak x aantal. AISLER levert in sets van 3; gratis verzending. Definitieve maat volgt uit de KiCad-layout</t>
        </is>
      </c>
    </row>
    <row r="22" ht="18" customHeight="1">
      <c r="A22" s="3" t="inlineStr">
        <is>
          <t>Print en verbindingen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5" t="inlineStr">
        <is>
          <t>Print en verbindingen</t>
        </is>
      </c>
      <c r="B23" s="6" t="inlineStr">
        <is>
          <t>Level shifter 3,3 V &lt;-&gt; 5 V</t>
        </is>
      </c>
      <c r="C23" s="6" t="inlineStr">
        <is>
          <t>8-kanaals bidirectionele Logic Level Converter - TXB0108</t>
        </is>
      </c>
      <c r="D23" s="7" t="n">
        <v>1</v>
      </c>
      <c r="E23" s="8" t="n">
        <v>8.699999999999999</v>
      </c>
      <c r="F23" s="8" t="n">
        <v>8.699999999999999</v>
      </c>
      <c r="G23" s="11" t="inlineStr">
        <is>
          <t>kiwi</t>
        </is>
      </c>
      <c r="H23" s="5" t="inlineStr">
        <is>
          <t>Kiwi Electronics</t>
        </is>
      </c>
      <c r="I23" s="10" t="inlineStr">
        <is>
          <t>https://www.kiwi-electronics.com/nl/8-channel-bi-directional-logic-level-converter-txb0108-836</t>
        </is>
      </c>
      <c r="J23" s="6" t="inlineStr">
        <is>
          <t>Past bij de gekozen TXB-serie; antratek-alternatief BSS138-converter EUR 4,78</t>
        </is>
      </c>
    </row>
    <row r="24">
      <c r="A24" s="5" t="inlineStr">
        <is>
          <t>Print en verbindingen</t>
        </is>
      </c>
      <c r="B24" s="6" t="inlineStr">
        <is>
          <t>Schroefklem 4-pins 3,5 mm</t>
        </is>
      </c>
      <c r="C24" s="6" t="inlineStr">
        <is>
          <t>KF128/KF301</t>
        </is>
      </c>
      <c r="D24" s="7" t="n">
        <v>1</v>
      </c>
      <c r="E24" s="8" t="n">
        <v>0.55</v>
      </c>
      <c r="F24" s="8" t="n">
        <v>0.55</v>
      </c>
      <c r="G24" s="14" t="inlineStr">
        <is>
          <t>schatting</t>
        </is>
      </c>
      <c r="H24" s="5" t="inlineStr">
        <is>
          <t>componentenwinkel</t>
        </is>
      </c>
      <c r="I24" s="6" t="inlineStr"/>
      <c r="J24" s="6" t="inlineStr">
        <is>
          <t>Niet bij Kiwi (alleen 3-weg) of antratek; prijs schatting</t>
        </is>
      </c>
    </row>
    <row r="25">
      <c r="A25" s="5" t="inlineStr">
        <is>
          <t>Print en verbindingen</t>
        </is>
      </c>
      <c r="B25" s="6" t="inlineStr">
        <is>
          <t>Sockets</t>
        </is>
      </c>
      <c r="C25" s="6" t="inlineStr">
        <is>
          <t>Dual-wipe (ESP32) + precisie voor de rest</t>
        </is>
      </c>
      <c r="D25" s="7" t="n">
        <v>1</v>
      </c>
      <c r="E25" s="8" t="n">
        <v>5</v>
      </c>
      <c r="F25" s="8" t="n">
        <v>5</v>
      </c>
      <c r="G25" s="14" t="inlineStr">
        <is>
          <t>schatting</t>
        </is>
      </c>
      <c r="H25" s="5" t="inlineStr">
        <is>
          <t>componentenwinkel</t>
        </is>
      </c>
      <c r="I25" s="6" t="inlineStr"/>
      <c r="J25" s="6" t="inlineStr">
        <is>
          <t>Niet bij Kiwi of antratek; prijs schatting (zie pcb-methodes-kosten)</t>
        </is>
      </c>
    </row>
    <row r="26">
      <c r="A26" s="5" t="inlineStr">
        <is>
          <t>Print en verbindingen</t>
        </is>
      </c>
      <c r="B26" s="6" t="inlineStr">
        <is>
          <t>Power-LED + serieweerstand</t>
        </is>
      </c>
      <c r="C26" s="6" t="inlineStr">
        <is>
          <t>3 mm LED rood (10-pack) + weerstand 330 Ohm (10-pack)</t>
        </is>
      </c>
      <c r="D26" s="7" t="n">
        <v>1</v>
      </c>
      <c r="E26" s="8" t="n">
        <v>2.16</v>
      </c>
      <c r="F26" s="8" t="n">
        <v>2.16</v>
      </c>
      <c r="G26" s="11" t="inlineStr">
        <is>
          <t>kiwi</t>
        </is>
      </c>
      <c r="H26" s="5" t="inlineStr">
        <is>
          <t>Kiwi Electronics</t>
        </is>
      </c>
      <c r="I26" s="10" t="inlineStr">
        <is>
          <t>https://www.kiwi-electronics.com/nl/3mm-led-diffuus-rood-10-pack-3085</t>
        </is>
      </c>
      <c r="J26" s="6" t="inlineStr">
        <is>
          <t>10-packs: 1 LED + 1 weerstand nodig; weerstand EUR 0,96; rest overschot</t>
        </is>
      </c>
    </row>
    <row r="27">
      <c r="A27" s="5" t="inlineStr">
        <is>
          <t>Print en verbindingen</t>
        </is>
      </c>
      <c r="B27" s="6" t="inlineStr">
        <is>
          <t>Ontkoppelcondensatoren</t>
        </is>
      </c>
      <c r="C27" s="6" t="inlineStr">
        <is>
          <t>Keramische condensator kit (15 soorten, 450 st.) - dekt 100 nF + 10 uF</t>
        </is>
      </c>
      <c r="D27" s="7" t="n">
        <v>1</v>
      </c>
      <c r="E27" s="8" t="n">
        <v>10.27</v>
      </c>
      <c r="F27" s="8" t="n">
        <v>10.27</v>
      </c>
      <c r="G27" s="11" t="inlineStr">
        <is>
          <t>kiwi</t>
        </is>
      </c>
      <c r="H27" s="5" t="inlineStr">
        <is>
          <t>Kiwi Electronics</t>
        </is>
      </c>
      <c r="I27" s="10" t="inlineStr">
        <is>
          <t>https://www.kiwi-electronics.com/nl/keramische-condensator-kit-in-doos-15-soorten-450-stuks-10492</t>
        </is>
      </c>
      <c r="J27" s="6" t="inlineStr">
        <is>
          <t>Kit i.p.v. losse condensatoren</t>
        </is>
      </c>
    </row>
    <row r="28">
      <c r="A28" s="5" t="inlineStr">
        <is>
          <t>Print en verbindingen</t>
        </is>
      </c>
      <c r="B28" s="6" t="inlineStr">
        <is>
          <t>Bulk-elco</t>
        </is>
      </c>
      <c r="C28" s="6" t="inlineStr">
        <is>
          <t>100 uF / 16 V op de 5 V-ingang</t>
        </is>
      </c>
      <c r="D28" s="7" t="n">
        <v>1</v>
      </c>
      <c r="E28" s="8" t="n">
        <v>0.59</v>
      </c>
      <c r="F28" s="8" t="n">
        <v>0.59</v>
      </c>
      <c r="G28" s="11" t="inlineStr">
        <is>
          <t>kiwi</t>
        </is>
      </c>
      <c r="H28" s="5" t="inlineStr">
        <is>
          <t>Kiwi Electronics</t>
        </is>
      </c>
      <c r="I28" s="10" t="inlineStr">
        <is>
          <t>https://www.kiwi-electronics.com/nl/100uf-16v-condensator-440</t>
        </is>
      </c>
      <c r="J28" s="6" t="inlineStr"/>
    </row>
    <row r="29">
      <c r="A29" s="5" t="inlineStr">
        <is>
          <t>Print en verbindingen</t>
        </is>
      </c>
      <c r="B29" s="6" t="inlineStr">
        <is>
          <t>I2C-pull-ups op de print</t>
        </is>
      </c>
      <c r="C29" s="6" t="inlineStr">
        <is>
          <t>Niet nodig; breakouts hebben ze al</t>
        </is>
      </c>
      <c r="D29" s="7" t="n">
        <v>2</v>
      </c>
      <c r="E29" s="5" t="n"/>
      <c r="F29" s="5" t="n"/>
      <c r="G29" s="15" t="inlineStr">
        <is>
          <t>niet nodig</t>
        </is>
      </c>
      <c r="H29" s="5" t="inlineStr">
        <is>
          <t>-</t>
        </is>
      </c>
      <c r="I29" s="6" t="inlineStr"/>
      <c r="J29" s="6" t="inlineStr">
        <is>
          <t>2 reserve-footprints</t>
        </is>
      </c>
    </row>
    <row r="30">
      <c r="A30" s="5" t="inlineStr">
        <is>
          <t>Print en verbindingen</t>
        </is>
      </c>
      <c r="B30" s="6" t="inlineStr">
        <is>
          <t>Montage</t>
        </is>
      </c>
      <c r="C30" s="6" t="inlineStr">
        <is>
          <t>M3-schroeven, moeren, standoffs, nylon spacers</t>
        </is>
      </c>
      <c r="D30" s="7" t="n">
        <v>1</v>
      </c>
      <c r="E30" s="8" t="n">
        <v>4</v>
      </c>
      <c r="F30" s="8" t="n">
        <v>4</v>
      </c>
      <c r="G30" s="14" t="inlineStr">
        <is>
          <t>schatting</t>
        </is>
      </c>
      <c r="H30" s="5" t="inlineStr">
        <is>
          <t>componentenwinkel</t>
        </is>
      </c>
      <c r="I30" s="6" t="inlineStr"/>
      <c r="J30" s="6" t="inlineStr">
        <is>
          <t>Niet bij Kiwi of antratek; prijs schatting</t>
        </is>
      </c>
    </row>
    <row r="31" ht="18" customHeight="1">
      <c r="A31" s="3" t="inlineStr">
        <is>
          <t>Kabels en verbruik (in bezit)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A32" s="5" t="inlineStr">
        <is>
          <t>Kabels en verbruik (in bezit)</t>
        </is>
      </c>
      <c r="B32" s="6" t="inlineStr">
        <is>
          <t>USB-C datakabel</t>
        </is>
      </c>
      <c r="C32" s="6" t="inlineStr">
        <is>
          <t>Eigen kabel</t>
        </is>
      </c>
      <c r="D32" s="7" t="n">
        <v>1</v>
      </c>
      <c r="E32" s="5" t="n"/>
      <c r="F32" s="5" t="n"/>
      <c r="G32" s="13" t="inlineStr">
        <is>
          <t>al in bezit</t>
        </is>
      </c>
      <c r="H32" s="5" t="inlineStr">
        <is>
          <t>-</t>
        </is>
      </c>
      <c r="I32" s="6" t="inlineStr"/>
      <c r="J32" s="6" t="inlineStr"/>
    </row>
    <row r="33">
      <c r="A33" s="5" t="inlineStr">
        <is>
          <t>Kabels en verbruik (in bezit)</t>
        </is>
      </c>
      <c r="B33" s="6" t="inlineStr">
        <is>
          <t>Dupont-/siliconendraad</t>
        </is>
      </c>
      <c r="C33" s="6" t="inlineStr">
        <is>
          <t>Heeft de gebruiker</t>
        </is>
      </c>
      <c r="D33" s="7" t="n">
        <v>1</v>
      </c>
      <c r="E33" s="5" t="n"/>
      <c r="F33" s="5" t="n"/>
      <c r="G33" s="13" t="inlineStr">
        <is>
          <t>al in bezit</t>
        </is>
      </c>
      <c r="H33" s="5" t="inlineStr">
        <is>
          <t>-</t>
        </is>
      </c>
      <c r="I33" s="6" t="inlineStr"/>
      <c r="J33" s="6" t="inlineStr"/>
    </row>
    <row r="34">
      <c r="A34" s="5" t="inlineStr">
        <is>
          <t>Kabels en verbruik (in bezit)</t>
        </is>
      </c>
      <c r="B34" s="6" t="inlineStr">
        <is>
          <t>USB A-kabel LoRa-ontvanger</t>
        </is>
      </c>
      <c r="C34" s="6" t="inlineStr">
        <is>
          <t>USB-A naar USB-C voor de XIAO (heeft de gebruiker)</t>
        </is>
      </c>
      <c r="D34" s="7" t="n">
        <v>1</v>
      </c>
      <c r="E34" s="5" t="n"/>
      <c r="F34" s="5" t="n"/>
      <c r="G34" s="13" t="inlineStr">
        <is>
          <t>al in bezit</t>
        </is>
      </c>
      <c r="H34" s="5" t="inlineStr">
        <is>
          <t>-</t>
        </is>
      </c>
      <c r="I34" s="6" t="inlineStr"/>
      <c r="J34" s="6" t="inlineStr"/>
    </row>
    <row r="35">
      <c r="A35" s="5" t="inlineStr">
        <is>
          <t>Kabels en verbruik (in bezit)</t>
        </is>
      </c>
      <c r="B35" s="6" t="inlineStr">
        <is>
          <t>Gereedschap</t>
        </is>
      </c>
      <c r="C35" s="6" t="inlineStr">
        <is>
          <t>Schuifmaat, soldeerbout, tin, flux, multimeter, USB-serieel adapter</t>
        </is>
      </c>
      <c r="D35" s="7" t="n">
        <v>1</v>
      </c>
      <c r="E35" s="5" t="n"/>
      <c r="F35" s="5" t="n"/>
      <c r="G35" s="13" t="inlineStr">
        <is>
          <t>al in bezit</t>
        </is>
      </c>
      <c r="H35" s="5" t="inlineStr">
        <is>
          <t>-</t>
        </is>
      </c>
      <c r="I35" s="6" t="inlineStr"/>
      <c r="J35" s="6" t="inlineStr"/>
    </row>
    <row r="36" ht="18" customHeight="1">
      <c r="A36" s="3" t="inlineStr">
        <is>
          <t>Mock-up (vliegtuigje)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A37" s="5" t="inlineStr">
        <is>
          <t>Mock-up (vliegtuigje)</t>
        </is>
      </c>
      <c r="B37" s="6" t="inlineStr">
        <is>
          <t>Arduino</t>
        </is>
      </c>
      <c r="C37" s="6" t="inlineStr">
        <is>
          <t>Arduino Uno (heeft de gebruiker thuis)</t>
        </is>
      </c>
      <c r="D37" s="7" t="n">
        <v>1</v>
      </c>
      <c r="E37" s="5" t="n"/>
      <c r="F37" s="5" t="n"/>
      <c r="G37" s="13" t="inlineStr">
        <is>
          <t>al in bezit</t>
        </is>
      </c>
      <c r="H37" s="5" t="inlineStr">
        <is>
          <t>-</t>
        </is>
      </c>
      <c r="I37" s="6" t="inlineStr"/>
      <c r="J37" s="6" t="inlineStr">
        <is>
          <t>Referentie antratek: Arduino Uno Rev3 (EUR 41,75)</t>
        </is>
      </c>
    </row>
    <row r="38">
      <c r="A38" s="5" t="inlineStr">
        <is>
          <t>Mock-up (vliegtuigje)</t>
        </is>
      </c>
      <c r="B38" s="6" t="inlineStr">
        <is>
          <t>Servo's</t>
        </is>
      </c>
      <c r="C38" s="6" t="inlineStr">
        <is>
          <t>Bestaande voorraad (&gt; 3)</t>
        </is>
      </c>
      <c r="D38" s="7" t="n">
        <v>3</v>
      </c>
      <c r="E38" s="5" t="n"/>
      <c r="F38" s="5" t="n"/>
      <c r="G38" s="13" t="inlineStr">
        <is>
          <t>al in bezit</t>
        </is>
      </c>
      <c r="H38" s="5" t="inlineStr">
        <is>
          <t>-</t>
        </is>
      </c>
      <c r="I38" s="6" t="inlineStr"/>
      <c r="J38" s="6" t="inlineStr"/>
    </row>
    <row r="39">
      <c r="A39" s="5" t="inlineStr">
        <is>
          <t>Mock-up (vliegtuigje)</t>
        </is>
      </c>
      <c r="B39" s="6" t="inlineStr">
        <is>
          <t>Servo-voeding</t>
        </is>
      </c>
      <c r="C39" s="6" t="inlineStr">
        <is>
          <t>Aparte buck-converter</t>
        </is>
      </c>
      <c r="D39" s="7" t="n">
        <v>1</v>
      </c>
      <c r="E39" s="5" t="n"/>
      <c r="F39" s="5" t="n"/>
      <c r="G39" s="13" t="inlineStr">
        <is>
          <t>al in bezit</t>
        </is>
      </c>
      <c r="H39" s="5" t="inlineStr">
        <is>
          <t>-</t>
        </is>
      </c>
      <c r="I39" s="6" t="inlineStr"/>
      <c r="J39" s="6" t="inlineStr"/>
    </row>
    <row r="40">
      <c r="A40" s="5" t="inlineStr">
        <is>
          <t>Mock-up (vliegtuigje)</t>
        </is>
      </c>
      <c r="B40" s="6" t="inlineStr">
        <is>
          <t>Romp en roeren</t>
        </is>
      </c>
      <c r="C40" s="6" t="inlineStr">
        <is>
          <t>Eigen 3D-print</t>
        </is>
      </c>
      <c r="D40" s="7" t="n">
        <v>1</v>
      </c>
      <c r="E40" s="5" t="n"/>
      <c r="F40" s="5" t="n"/>
      <c r="G40" s="13" t="inlineStr">
        <is>
          <t>al in bezit</t>
        </is>
      </c>
      <c r="H40" s="5" t="inlineStr">
        <is>
          <t>-</t>
        </is>
      </c>
      <c r="I40" s="6" t="inlineStr"/>
      <c r="J40" s="6" t="inlineStr"/>
    </row>
    <row r="42">
      <c r="A42" s="17" t="inlineStr">
        <is>
          <t>Totaal te bestellen bij Kiwi Electronics</t>
        </is>
      </c>
      <c r="B42" s="18" t="n"/>
      <c r="C42" s="18" t="n"/>
      <c r="D42" s="18" t="n"/>
      <c r="E42" s="18" t="n"/>
      <c r="F42" s="19">
        <f>SUMIF(G3:G40,"kiwi",F3:F40)</f>
        <v/>
      </c>
      <c r="G42" s="18" t="n"/>
      <c r="H42" s="18" t="n"/>
      <c r="I42" s="18" t="n"/>
      <c r="J42" s="18" t="n"/>
    </row>
    <row r="43">
      <c r="A43" s="17" t="inlineStr">
        <is>
          <t>Totaal te bestellen bij antratek</t>
        </is>
      </c>
      <c r="B43" s="18" t="n"/>
      <c r="C43" s="18" t="n"/>
      <c r="D43" s="18" t="n"/>
      <c r="E43" s="18" t="n"/>
      <c r="F43" s="19">
        <f>SUMIF(G3:G40,"antratek",F3:F40)</f>
        <v/>
      </c>
      <c r="G43" s="18" t="n"/>
      <c r="H43" s="18" t="n"/>
      <c r="I43" s="18" t="n"/>
      <c r="J43" s="18" t="n"/>
    </row>
    <row r="44">
      <c r="A44" s="17" t="inlineStr">
        <is>
          <t>Subtotaal onderdelen (Kiwi + antratek)</t>
        </is>
      </c>
      <c r="B44" s="18" t="n"/>
      <c r="C44" s="18" t="n"/>
      <c r="D44" s="18" t="n"/>
      <c r="E44" s="18" t="n"/>
      <c r="F44" s="19">
        <f>F42+F43</f>
        <v/>
      </c>
      <c r="G44" s="18" t="n"/>
      <c r="H44" s="18" t="n"/>
      <c r="I44" s="18" t="n"/>
      <c r="J44" s="18" t="n"/>
    </row>
    <row r="45">
      <c r="A45" s="17" t="inlineStr">
        <is>
          <t>Totaal draagprint bij AISLER (3 stuks)</t>
        </is>
      </c>
      <c r="B45" s="18" t="n"/>
      <c r="C45" s="18" t="n"/>
      <c r="D45" s="18" t="n"/>
      <c r="E45" s="18" t="n"/>
      <c r="F45" s="19">
        <f>SUMIF(G3:G40,"aisler",F3:F40)</f>
        <v/>
      </c>
      <c r="G45" s="18" t="n"/>
      <c r="H45" s="18" t="n"/>
      <c r="I45" s="18" t="n"/>
      <c r="J45" s="18" t="n"/>
    </row>
    <row r="46">
      <c r="A46" s="17" t="inlineStr">
        <is>
          <t>Totaal PCB-onderdelen (schatting, apart bestellen)</t>
        </is>
      </c>
      <c r="B46" s="18" t="n"/>
      <c r="C46" s="18" t="n"/>
      <c r="D46" s="18" t="n"/>
      <c r="E46" s="18" t="n"/>
      <c r="F46" s="19">
        <f>SUMIF(G3:G40,"schatting",F3:F40)</f>
        <v/>
      </c>
      <c r="G46" s="18" t="n"/>
      <c r="H46" s="18" t="n"/>
      <c r="I46" s="18" t="n"/>
      <c r="J46" s="18" t="n"/>
    </row>
    <row r="47">
      <c r="A47" s="17" t="inlineStr">
        <is>
          <t>Totaal alles (incl. print + PCB-onderdelen)</t>
        </is>
      </c>
      <c r="B47" s="18" t="n"/>
      <c r="C47" s="18" t="n"/>
      <c r="D47" s="18" t="n"/>
      <c r="E47" s="18" t="n"/>
      <c r="F47" s="19">
        <f>F44+F45+F46</f>
        <v/>
      </c>
      <c r="G47" s="18" t="n"/>
      <c r="H47" s="18" t="n"/>
      <c r="I47" s="18" t="n"/>
      <c r="J47" s="18" t="n"/>
    </row>
    <row r="49">
      <c r="A49" s="20" t="inlineStr">
        <is>
          <t>Let op: prijzen onder voorbehoud (Kiwi Electronics + antratek + AISLER, 2026-10-06). De PCB-onderdelen op status 'schatting' zijn benaderd (o.a. sockets, discrete voeding, LDO, schroefklem, M3-montage). Het 'geen link'-onderdeel (RTK-module LC29H) is niet in de totalen opgenomen. Details: GEBRUIKER/data/bestelschema-pcb.md.</t>
        </is>
      </c>
    </row>
  </sheetData>
  <autoFilter ref="A2:J40"/>
  <mergeCells count="15">
    <mergeCell ref="A1:J1"/>
    <mergeCell ref="A5:J5"/>
    <mergeCell ref="A36:J36"/>
    <mergeCell ref="A31:J31"/>
    <mergeCell ref="A43:E43"/>
    <mergeCell ref="A22:J22"/>
    <mergeCell ref="A9:J9"/>
    <mergeCell ref="A42:E42"/>
    <mergeCell ref="A3:J3"/>
    <mergeCell ref="A47:E47"/>
    <mergeCell ref="A45:E45"/>
    <mergeCell ref="A46:E46"/>
    <mergeCell ref="A20:J20"/>
    <mergeCell ref="A44:E44"/>
    <mergeCell ref="A13:J13"/>
  </mergeCells>
  <hyperlinks>
    <hyperlink xmlns:r="http://schemas.openxmlformats.org/officeDocument/2006/relationships" ref="I4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10" r:id="rId4"/>
    <hyperlink xmlns:r="http://schemas.openxmlformats.org/officeDocument/2006/relationships" ref="I11" r:id="rId5"/>
    <hyperlink xmlns:r="http://schemas.openxmlformats.org/officeDocument/2006/relationships" ref="I21" r:id="rId6"/>
    <hyperlink xmlns:r="http://schemas.openxmlformats.org/officeDocument/2006/relationships" ref="I23" r:id="rId7"/>
    <hyperlink xmlns:r="http://schemas.openxmlformats.org/officeDocument/2006/relationships" ref="I26" r:id="rId8"/>
    <hyperlink xmlns:r="http://schemas.openxmlformats.org/officeDocument/2006/relationships" ref="I27" r:id="rId9"/>
    <hyperlink xmlns:r="http://schemas.openxmlformats.org/officeDocument/2006/relationships" ref="I28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4" customWidth="1" min="1" max="1"/>
    <col width="70" customWidth="1" min="2" max="2"/>
  </cols>
  <sheetData>
    <row r="1">
      <c r="A1" s="21" t="inlineStr">
        <is>
          <t>Tag</t>
        </is>
      </c>
      <c r="B1" s="21" t="inlineStr">
        <is>
          <t>Betekenis</t>
        </is>
      </c>
    </row>
    <row r="2">
      <c r="A2" s="22" t="inlineStr">
        <is>
          <t>kiwi</t>
        </is>
      </c>
      <c r="B2" t="inlineStr">
        <is>
          <t>Aankooplink gevonden op Kiwi Electronics (kiwi-electronics.com)</t>
        </is>
      </c>
    </row>
    <row r="3">
      <c r="A3" s="23" t="inlineStr">
        <is>
          <t>antratek</t>
        </is>
      </c>
      <c r="B3" t="inlineStr">
        <is>
          <t>Aankooplink gevonden op antratek.be (goedkoper of als reserve)</t>
        </is>
      </c>
    </row>
    <row r="4">
      <c r="A4" s="24" t="inlineStr">
        <is>
          <t>aisler</t>
        </is>
      </c>
      <c r="B4" t="inlineStr">
        <is>
          <t>Gefabriceerd bij AISLER (EU); print zelf, geen componenten</t>
        </is>
      </c>
    </row>
    <row r="5">
      <c r="A5" s="25" t="inlineStr">
        <is>
          <t>schatting</t>
        </is>
      </c>
      <c r="B5" t="inlineStr">
        <is>
          <t>Prijs is een schatting; apart te bestellen bij een componentenwinkel</t>
        </is>
      </c>
    </row>
    <row r="6">
      <c r="A6" s="26" t="inlineStr">
        <is>
          <t>al in bezit</t>
        </is>
      </c>
      <c r="B6" t="inlineStr">
        <is>
          <t>Heeft de gebruiker al; niet aankopen</t>
        </is>
      </c>
    </row>
    <row r="7">
      <c r="A7" s="27" t="inlineStr">
        <is>
          <t>geen link</t>
        </is>
      </c>
      <c r="B7" t="inlineStr">
        <is>
          <t>Niet gevonden bij Kiwi of antratek; nog geen prijs</t>
        </is>
      </c>
    </row>
    <row r="8">
      <c r="A8" s="28" t="inlineStr">
        <is>
          <t>niet nodig</t>
        </is>
      </c>
      <c r="B8" t="inlineStr">
        <is>
          <t>Bewust niet voorzien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8" customWidth="1" min="3" max="3"/>
    <col width="46" customWidth="1" min="4" max="4"/>
  </cols>
  <sheetData>
    <row r="1" ht="24" customHeight="1">
      <c r="A1" s="29" t="inlineStr">
        <is>
          <t>Bestelschema draagprint bij AISLER - schatting (2026-10-06)</t>
        </is>
      </c>
    </row>
    <row r="2">
      <c r="A2" s="30" t="inlineStr">
        <is>
          <t>AISLER-productie - 2-laags 1,6 mm HASL Budget</t>
        </is>
      </c>
    </row>
    <row r="3">
      <c r="A3" s="6" t="inlineStr">
        <is>
          <t>Formule: EUR 12,00 job fee + EUR 0,067/cm2 x oppervlak x aantal (sets van 3, gratis verzending, productie vanaf 2 werkdagen)</t>
        </is>
      </c>
      <c r="B3" s="6" t="n"/>
      <c r="C3" s="6" t="n"/>
      <c r="D3" s="6" t="n"/>
    </row>
    <row r="4">
      <c r="A4" s="31" t="inlineStr">
        <is>
          <t>Oppervlak</t>
        </is>
      </c>
      <c r="B4" s="31" t="inlineStr">
        <is>
          <t>3 stuks incl. btw</t>
        </is>
      </c>
      <c r="C4" s="31" t="inlineStr">
        <is>
          <t>6 stuks incl. btw</t>
        </is>
      </c>
      <c r="D4" s="31" t="n"/>
    </row>
    <row r="5">
      <c r="A5" s="6" t="inlineStr">
        <is>
          <t>60 cm2 (bv. 100x60)</t>
        </is>
      </c>
      <c r="B5" s="8" t="n">
        <v>29.11</v>
      </c>
      <c r="C5" s="6" t="n">
        <v>43.71</v>
      </c>
      <c r="D5" s="6" t="n"/>
    </row>
    <row r="6">
      <c r="A6" s="6" t="inlineStr">
        <is>
          <t>75 cm2 (100x75, aanname)</t>
        </is>
      </c>
      <c r="B6" s="8" t="n">
        <v>32.76</v>
      </c>
      <c r="C6" s="6" t="n">
        <v>50.99</v>
      </c>
      <c r="D6" s="6" t="n"/>
    </row>
    <row r="7">
      <c r="A7" s="6" t="inlineStr">
        <is>
          <t>90 cm2 (120x75)</t>
        </is>
      </c>
      <c r="B7" s="8" t="n">
        <v>36.41</v>
      </c>
      <c r="C7" s="6" t="n">
        <v>58.3</v>
      </c>
      <c r="D7" s="6" t="n"/>
    </row>
    <row r="8">
      <c r="A8" s="6" t="inlineStr">
        <is>
          <t>100 cm2 (100x100)</t>
        </is>
      </c>
      <c r="B8" s="8" t="n">
        <v>38.84</v>
      </c>
      <c r="C8" s="6" t="n">
        <v>63.16</v>
      </c>
      <c r="D8" s="6" t="n"/>
    </row>
    <row r="10">
      <c r="A10" s="30" t="inlineStr">
        <is>
          <t>Onderdelen op de print</t>
        </is>
      </c>
    </row>
    <row r="11">
      <c r="A11" s="31" t="inlineStr">
        <is>
          <t>Onderdeel</t>
        </is>
      </c>
      <c r="B11" s="31" t="inlineStr">
        <is>
          <t>Prijs (EUR)</t>
        </is>
      </c>
      <c r="C11" s="31" t="inlineStr">
        <is>
          <t>Leverancier</t>
        </is>
      </c>
      <c r="D11" s="31" t="n"/>
    </row>
    <row r="12">
      <c r="A12" s="6" t="inlineStr">
        <is>
          <t>Sockets (dual-wipe + precisie)</t>
        </is>
      </c>
      <c r="B12" s="8" t="n">
        <v>5</v>
      </c>
      <c r="C12" s="6" t="inlineStr">
        <is>
          <t>componentenwinkel (schatting)</t>
        </is>
      </c>
      <c r="D12" s="6" t="n"/>
    </row>
    <row r="13">
      <c r="A13" s="6" t="inlineStr">
        <is>
          <t>Voedingsbescherming (2 A PTC + DMG2301L + SMBJ10A)</t>
        </is>
      </c>
      <c r="B13" s="8" t="n">
        <v>0.95</v>
      </c>
      <c r="C13" s="6" t="inlineStr">
        <is>
          <t>componentenwinkel (schatting)</t>
        </is>
      </c>
      <c r="D13" s="6" t="n"/>
    </row>
    <row r="14">
      <c r="A14" s="6" t="inlineStr">
        <is>
          <t>LDO AP2112K-3.3</t>
        </is>
      </c>
      <c r="B14" s="8" t="n">
        <v>0.35</v>
      </c>
      <c r="C14" s="6" t="inlineStr">
        <is>
          <t>componentenwinkel (schatting)</t>
        </is>
      </c>
      <c r="D14" s="6" t="n"/>
    </row>
    <row r="15">
      <c r="A15" s="6" t="inlineStr">
        <is>
          <t>Schroefklem 4-pins 3,5 mm (KF128/KF301)</t>
        </is>
      </c>
      <c r="B15" s="8" t="n">
        <v>0.55</v>
      </c>
      <c r="C15" s="6" t="inlineStr">
        <is>
          <t>componentenwinkel (schatting)</t>
        </is>
      </c>
      <c r="D15" s="6" t="n"/>
    </row>
    <row r="16">
      <c r="A16" s="6" t="inlineStr">
        <is>
          <t>M3-schroeven, moeren, standoffs, spacers</t>
        </is>
      </c>
      <c r="B16" s="8" t="n">
        <v>4</v>
      </c>
      <c r="C16" s="6" t="inlineStr">
        <is>
          <t>componentenwinkel (schatting)</t>
        </is>
      </c>
      <c r="D16" s="6" t="n"/>
    </row>
    <row r="17">
      <c r="A17" s="31" t="inlineStr">
        <is>
          <t>Subtotaal apart te bestellen</t>
        </is>
      </c>
      <c r="B17" s="32" t="n">
        <v>10.85</v>
      </c>
      <c r="C17" s="31" t="inlineStr">
        <is>
          <t>schatting</t>
        </is>
      </c>
      <c r="D17" s="31" t="n"/>
    </row>
    <row r="18">
      <c r="A18" s="6" t="inlineStr">
        <is>
          <t>TXB0108 level shifter</t>
        </is>
      </c>
      <c r="B18" s="8" t="n">
        <v>8.699999999999999</v>
      </c>
      <c r="C18" s="6" t="inlineStr">
        <is>
          <t>Kiwi Electronics</t>
        </is>
      </c>
      <c r="D18" s="6" t="n"/>
    </row>
    <row r="19">
      <c r="A19" s="6" t="inlineStr">
        <is>
          <t>LED + serieweerstand (per bord gebruikt)</t>
        </is>
      </c>
      <c r="B19" s="8" t="n">
        <v>0.22</v>
      </c>
      <c r="C19" s="6" t="inlineStr">
        <is>
          <t>Kiwi Electronics</t>
        </is>
      </c>
      <c r="D19" s="6" t="n"/>
    </row>
    <row r="20">
      <c r="A20" s="6" t="inlineStr">
        <is>
          <t>Ontkoppelcondensatoren (per bord gebruikt)</t>
        </is>
      </c>
      <c r="B20" s="8" t="n">
        <v>0.5</v>
      </c>
      <c r="C20" s="6" t="inlineStr">
        <is>
          <t>Kiwi Electronics</t>
        </is>
      </c>
      <c r="D20" s="6" t="n"/>
    </row>
    <row r="21">
      <c r="A21" s="6" t="inlineStr">
        <is>
          <t>Bulk-elco 100 uF</t>
        </is>
      </c>
      <c r="B21" s="8" t="n">
        <v>0.59</v>
      </c>
      <c r="C21" s="6" t="inlineStr">
        <is>
          <t>Kiwi Electronics</t>
        </is>
      </c>
      <c r="D21" s="6" t="n"/>
    </row>
    <row r="22">
      <c r="A22" s="31" t="inlineStr">
        <is>
          <t>Subtotaal al in hoofd-bestellijst</t>
        </is>
      </c>
      <c r="B22" s="32" t="n">
        <v>10.01</v>
      </c>
      <c r="C22" s="31" t="inlineStr">
        <is>
          <t>Kiwi Electronics</t>
        </is>
      </c>
      <c r="D22" s="31" t="n"/>
    </row>
    <row r="23">
      <c r="A23" s="31" t="inlineStr">
        <is>
          <t>Totaal onderdelen op de print (met TXB0108)</t>
        </is>
      </c>
      <c r="B23" s="32" t="n">
        <v>20.86</v>
      </c>
      <c r="C23" s="31" t="inlineStr">
        <is>
          <t>met TXB0104-IC direct: ca. 13,96</t>
        </is>
      </c>
      <c r="D23" s="31" t="n"/>
    </row>
    <row r="25">
      <c r="A25" s="30" t="inlineStr">
        <is>
          <t>Totalen (3 borden, incl. btw)</t>
        </is>
      </c>
    </row>
    <row r="26">
      <c r="A26" s="6" t="inlineStr">
        <is>
          <t>AISLER print, 3 stuks, 75 cm2 Budget</t>
        </is>
      </c>
      <c r="B26" s="8" t="n">
        <v>32.76</v>
      </c>
      <c r="C26" s="6" t="n"/>
      <c r="D26" s="6" t="n"/>
    </row>
    <row r="27">
      <c r="A27" s="6" t="inlineStr">
        <is>
          <t>Onderdelen op de print</t>
        </is>
      </c>
      <c r="B27" s="8" t="n">
        <v>20.86</v>
      </c>
      <c r="C27" s="6" t="n"/>
      <c r="D27" s="6" t="n"/>
    </row>
    <row r="28">
      <c r="A28" s="31" t="inlineStr">
        <is>
          <t>Totaal</t>
        </is>
      </c>
      <c r="B28" s="32" t="n">
        <v>53.62</v>
      </c>
      <c r="C28" s="31" t="n"/>
      <c r="D28" s="31" t="n"/>
    </row>
    <row r="29">
      <c r="A29" s="6" t="inlineStr">
        <is>
          <t>Waarvan al in de hoofd-bestellijst</t>
        </is>
      </c>
      <c r="B29" s="8" t="n">
        <v>10.01</v>
      </c>
      <c r="C29" s="6" t="n"/>
      <c r="D29" s="6" t="n"/>
    </row>
    <row r="30">
      <c r="A30" s="31" t="inlineStr">
        <is>
          <t>Werkelijk nieuw te bestellen</t>
        </is>
      </c>
      <c r="B30" s="32" t="n">
        <v>43.61</v>
      </c>
      <c r="C30" s="31" t="n"/>
      <c r="D30" s="31" t="n"/>
    </row>
    <row r="32">
      <c r="A32" s="30" t="inlineStr">
        <is>
          <t>Bestelvolgorde</t>
        </is>
      </c>
    </row>
    <row r="33">
      <c r="A33" s="6" t="inlineStr">
        <is>
          <t>1. PCB ontwerpen in KiCad; layout afronden, DRC, Gerbers/ODB++ exporteren</t>
        </is>
      </c>
      <c r="B33" s="6" t="n"/>
      <c r="C33" s="6" t="n"/>
      <c r="D33" s="6" t="n"/>
    </row>
    <row r="34">
      <c r="A34" s="6" t="inlineStr">
        <is>
          <t>2. Bordafmeting definitief nameten en AISLER-calculator controleren</t>
        </is>
      </c>
      <c r="B34" s="6" t="n"/>
      <c r="C34" s="6" t="n"/>
      <c r="D34" s="6" t="n"/>
    </row>
    <row r="35">
      <c r="A35" s="6" t="inlineStr">
        <is>
          <t>3. Print bestellen bij AISLER (3 of 6 stuks, Budget-service)</t>
        </is>
      </c>
      <c r="B35" s="6" t="n"/>
      <c r="C35" s="6" t="n"/>
      <c r="D35" s="6" t="n"/>
    </row>
    <row r="36">
      <c r="A36" s="6" t="inlineStr">
        <is>
          <t>4. Tegelijk de 'schatting'-onderdelen bestellen (sockets, voeding, LDO, klem, montage)</t>
        </is>
      </c>
      <c r="B36" s="6" t="n"/>
      <c r="C36" s="6" t="n"/>
      <c r="D36" s="6" t="n"/>
    </row>
    <row r="37">
      <c r="A37" s="6" t="inlineStr">
        <is>
          <t>5. Kiwi/antratek-bestelling: level shifter, LED, condensatoren, bulk-elco</t>
        </is>
      </c>
      <c r="B37" s="6" t="n"/>
      <c r="C37" s="6" t="n"/>
      <c r="D37" s="6" t="n"/>
    </row>
    <row r="38">
      <c r="A38" s="6" t="inlineStr">
        <is>
          <t>6. Rendering vergelijken met het echte bord, daarna solderen</t>
        </is>
      </c>
      <c r="B38" s="6" t="n"/>
      <c r="C38" s="6" t="n"/>
      <c r="D38" s="6" t="n"/>
    </row>
  </sheetData>
  <mergeCells count="5">
    <mergeCell ref="A1:D1"/>
    <mergeCell ref="A25:D25"/>
    <mergeCell ref="A2:D2"/>
    <mergeCell ref="A10:D10"/>
    <mergeCell ref="A32:D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2026-10-06T11:29:23Z</dcterms:created>
  <dcterms:modified xsi:type="dcterms:W3CDTF">2026-10-06T11:29:23Z</dcterms:modified>
</cp:coreProperties>
</file>